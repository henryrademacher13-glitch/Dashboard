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  <sheet name="Rejected" sheetId="2" state="visible" r:id="rId2"/>
    <sheet name="Summary" sheetId="3" state="visible" r:id="rId3"/>
  </sheets>
  <definedNames>
    <definedName name="_xlnm._FilterDatabase" localSheetId="0" hidden="1">'Leads'!$A$1:$P$4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4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sz val="12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horizontal="center"/>
    </xf>
    <xf numFmtId="0" fontId="2" fillId="3" borderId="0" applyAlignment="1" pivotButton="0" quotePrefix="0" xfId="0">
      <alignment vertical="top"/>
    </xf>
    <xf numFmtId="0" fontId="2" fillId="3" borderId="0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16" customWidth="1" min="3" max="3"/>
    <col width="7" customWidth="1" min="4" max="4"/>
    <col width="30" customWidth="1" min="5" max="5"/>
    <col width="20" customWidth="1" min="6" max="6"/>
    <col width="20" customWidth="1" min="7" max="7"/>
    <col width="28" customWidth="1" min="8" max="8"/>
    <col width="16" customWidth="1" min="9" max="9"/>
    <col width="11" customWidth="1" min="10" max="10"/>
    <col width="12" customWidth="1" min="11" max="11"/>
    <col width="14" customWidth="1" min="12" max="12"/>
    <col width="30" customWidth="1" min="13" max="13"/>
    <col width="12" customWidth="1" min="14" max="14"/>
    <col width="20" customWidth="1" min="15" max="15"/>
    <col width="14" customWidth="1" min="16" max="16"/>
  </cols>
  <sheetData>
    <row r="1">
      <c r="A1" s="1" t="inlineStr">
        <is>
          <t>Company</t>
        </is>
      </c>
      <c r="B1" s="1" t="inlineStr">
        <is>
          <t>Trade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Website</t>
        </is>
      </c>
      <c r="F1" s="1" t="inlineStr">
        <is>
          <t>Contact</t>
        </is>
      </c>
      <c r="G1" s="1" t="inlineStr">
        <is>
          <t>Title</t>
        </is>
      </c>
      <c r="H1" s="1" t="inlineStr">
        <is>
          <t>Email</t>
        </is>
      </c>
      <c r="I1" s="1" t="inlineStr">
        <is>
          <t>Phone</t>
        </is>
      </c>
      <c r="J1" s="1" t="inlineStr">
        <is>
          <t>Employees</t>
        </is>
      </c>
      <c r="K1" s="1" t="inlineStr">
        <is>
          <t>Contactable</t>
        </is>
      </c>
      <c r="L1" s="1" t="inlineStr">
        <is>
          <t>Status</t>
        </is>
      </c>
      <c r="M1" s="1" t="inlineStr">
        <is>
          <t>Notes</t>
        </is>
      </c>
      <c r="N1" s="1" t="inlineStr">
        <is>
          <t>Source</t>
        </is>
      </c>
      <c r="O1" s="1" t="inlineStr">
        <is>
          <t>Retrieved</t>
        </is>
      </c>
      <c r="P1" s="1" t="inlineStr">
        <is>
          <t>Source ID</t>
        </is>
      </c>
    </row>
    <row r="2">
      <c r="A2" s="2" t="inlineStr">
        <is>
          <t>Smith Roofing &amp; Siding</t>
        </is>
      </c>
      <c r="B2" s="2" t="inlineStr">
        <is>
          <t>roofing, siding, gutters</t>
        </is>
      </c>
      <c r="C2" s="2" t="inlineStr">
        <is>
          <t>West Chester</t>
        </is>
      </c>
      <c r="D2" s="2" t="inlineStr">
        <is>
          <t>PA</t>
        </is>
      </c>
      <c r="E2" s="2" t="inlineStr">
        <is>
          <t>https://smithroofingpa.com</t>
        </is>
      </c>
      <c r="F2" s="2" t="inlineStr">
        <is>
          <t>Robert Smith</t>
        </is>
      </c>
      <c r="G2" s="2" t="inlineStr">
        <is>
          <t>Owner</t>
        </is>
      </c>
      <c r="H2" s="2" t="inlineStr">
        <is>
          <t>rsmith@smithroofingpa.com</t>
        </is>
      </c>
      <c r="I2" s="2" t="inlineStr">
        <is>
          <t>+16105550134</t>
        </is>
      </c>
      <c r="J2" s="2" t="n">
        <v>14</v>
      </c>
      <c r="K2" s="3">
        <f>IF(OR(H2&lt;&gt;"",I2&lt;&gt;""),"Yes","No")</f>
        <v/>
      </c>
      <c r="L2" s="4" t="inlineStr">
        <is>
          <t>New</t>
        </is>
      </c>
      <c r="M2" s="5" t="n"/>
      <c r="N2" s="2" t="inlineStr">
        <is>
          <t>apollo.io</t>
        </is>
      </c>
      <c r="O2" s="2" t="inlineStr">
        <is>
          <t>2026-09-15T02:02:56+00:00</t>
        </is>
      </c>
      <c r="P2" s="2" t="inlineStr">
        <is>
          <t>p1</t>
        </is>
      </c>
    </row>
    <row r="3">
      <c r="A3" s="2" t="inlineStr">
        <is>
          <t>Keystone HVAC Services</t>
        </is>
      </c>
      <c r="B3" s="2" t="inlineStr">
        <is>
          <t>hvac, heating, air conditioning</t>
        </is>
      </c>
      <c r="C3" s="2" t="inlineStr">
        <is>
          <t>Malvern</t>
        </is>
      </c>
      <c r="D3" s="2" t="inlineStr">
        <is>
          <t>PA</t>
        </is>
      </c>
      <c r="E3" s="2" t="inlineStr">
        <is>
          <t>https://keystonehvacpa.com</t>
        </is>
      </c>
      <c r="F3" s="2" t="inlineStr">
        <is>
          <t>Dana Whitfield</t>
        </is>
      </c>
      <c r="G3" s="2" t="inlineStr">
        <is>
          <t>General Manager</t>
        </is>
      </c>
      <c r="H3" s="2" t="inlineStr">
        <is>
          <t>dana@keystonehvacpa.com</t>
        </is>
      </c>
      <c r="I3" s="2" t="inlineStr">
        <is>
          <t>+16105550199</t>
        </is>
      </c>
      <c r="J3" s="2" t="n">
        <v>31</v>
      </c>
      <c r="K3" s="3">
        <f>IF(OR(H3&lt;&gt;"",I3&lt;&gt;""),"Yes","No")</f>
        <v/>
      </c>
      <c r="L3" s="4" t="inlineStr">
        <is>
          <t>New</t>
        </is>
      </c>
      <c r="M3" s="5" t="n"/>
      <c r="N3" s="2" t="inlineStr">
        <is>
          <t>apollo.io</t>
        </is>
      </c>
      <c r="O3" s="2" t="inlineStr">
        <is>
          <t>2026-09-15T02:02:56+00:00</t>
        </is>
      </c>
      <c r="P3" s="2" t="inlineStr">
        <is>
          <t>p2</t>
        </is>
      </c>
    </row>
    <row r="4">
      <c r="A4" s="2" t="inlineStr">
        <is>
          <t>Bluestone Plumbing Co</t>
        </is>
      </c>
      <c r="B4" s="2" t="inlineStr">
        <is>
          <t>plumbing, drain cleaning</t>
        </is>
      </c>
      <c r="C4" s="2" t="inlineStr">
        <is>
          <t>Downingtown</t>
        </is>
      </c>
      <c r="D4" s="2" t="inlineStr">
        <is>
          <t>PA</t>
        </is>
      </c>
      <c r="E4" s="2" t="inlineStr">
        <is>
          <t>http://www.bluestoneplumbing.com</t>
        </is>
      </c>
      <c r="F4" s="2" t="inlineStr">
        <is>
          <t>Marcus Oyelaran</t>
        </is>
      </c>
      <c r="G4" s="2" t="inlineStr">
        <is>
          <t>President</t>
        </is>
      </c>
      <c r="H4" s="2" t="inlineStr">
        <is>
          <t>marcus@bluestoneplumbing.com</t>
        </is>
      </c>
      <c r="I4" s="2" t="inlineStr">
        <is>
          <t>+16105550177</t>
        </is>
      </c>
      <c r="J4" s="2" t="n">
        <v>8</v>
      </c>
      <c r="K4" s="3">
        <f>IF(OR(H4&lt;&gt;"",I4&lt;&gt;""),"Yes","No")</f>
        <v/>
      </c>
      <c r="L4" s="4" t="inlineStr">
        <is>
          <t>New</t>
        </is>
      </c>
      <c r="M4" s="5" t="n"/>
      <c r="N4" s="2" t="inlineStr">
        <is>
          <t>apollo.io</t>
        </is>
      </c>
      <c r="O4" s="2" t="inlineStr">
        <is>
          <t>2026-09-15T02:02:56+00:00</t>
        </is>
      </c>
      <c r="P4" s="2" t="inlineStr">
        <is>
          <t>p3</t>
        </is>
      </c>
    </row>
  </sheetData>
  <autoFilter ref="A1:P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16" customWidth="1" min="3" max="3"/>
    <col width="7" customWidth="1" min="4" max="4"/>
    <col width="26" customWidth="1" min="5" max="5"/>
    <col width="16" customWidth="1" min="6" max="6"/>
    <col width="46" customWidth="1" min="7" max="7"/>
  </cols>
  <sheetData>
    <row r="1">
      <c r="A1" s="1" t="inlineStr">
        <is>
          <t>Company</t>
        </is>
      </c>
      <c r="B1" s="1" t="inlineStr">
        <is>
          <t>Trade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Email</t>
        </is>
      </c>
      <c r="F1" s="1" t="inlineStr">
        <is>
          <t>Phone</t>
        </is>
      </c>
      <c r="G1" s="1" t="inlineStr">
        <is>
          <t>Rejected for</t>
        </is>
      </c>
    </row>
    <row r="2">
      <c r="A2" s="6" t="inlineStr">
        <is>
          <t>Raghunathan Landscape Design</t>
        </is>
      </c>
      <c r="B2" s="6" t="inlineStr">
        <is>
          <t>landscaping</t>
        </is>
      </c>
      <c r="C2" s="6" t="inlineStr">
        <is>
          <t>Exton</t>
        </is>
      </c>
      <c r="D2" s="6" t="inlineStr">
        <is>
          <t>PA</t>
        </is>
      </c>
      <c r="E2" s="6" t="n"/>
      <c r="F2" s="6" t="n"/>
      <c r="G2" s="6" t="inlineStr">
        <is>
          <t>no email or phone</t>
        </is>
      </c>
    </row>
    <row r="3">
      <c r="A3" s="6" t="inlineStr">
        <is>
          <t>Becker Electric</t>
        </is>
      </c>
      <c r="B3" s="6" t="inlineStr">
        <is>
          <t>electrical</t>
        </is>
      </c>
      <c r="C3" s="6" t="inlineStr">
        <is>
          <t>Cherry Hill</t>
        </is>
      </c>
      <c r="D3" s="6" t="inlineStr">
        <is>
          <t>NJ</t>
        </is>
      </c>
      <c r="E3" s="6" t="inlineStr">
        <is>
          <t>tom@beckerelectricnj.com</t>
        </is>
      </c>
      <c r="F3" s="6" t="inlineStr">
        <is>
          <t>+18565550122</t>
        </is>
      </c>
      <c r="G3" s="6" t="inlineStr">
        <is>
          <t>state NJ not in target list</t>
        </is>
      </c>
    </row>
    <row r="4">
      <c r="A4" s="6" t="inlineStr">
        <is>
          <t>Chester Valley Financial</t>
        </is>
      </c>
      <c r="B4" s="6" t="inlineStr">
        <is>
          <t>financial services, wealth management</t>
        </is>
      </c>
      <c r="C4" s="6" t="inlineStr">
        <is>
          <t>Paoli</t>
        </is>
      </c>
      <c r="D4" s="6" t="inlineStr">
        <is>
          <t>PA</t>
        </is>
      </c>
      <c r="E4" s="6" t="inlineStr">
        <is>
          <t>salvarez@chestervalleyfinancial.com</t>
        </is>
      </c>
      <c r="F4" s="6" t="inlineStr">
        <is>
          <t>+16105550188</t>
        </is>
      </c>
      <c r="G4" s="6" t="inlineStr">
        <is>
          <t>trade financial services, wealth management not in target list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58" customWidth="1" min="3" max="3"/>
  </cols>
  <sheetData>
    <row r="1">
      <c r="A1" s="7" t="inlineStr">
        <is>
          <t>Lead list summary</t>
        </is>
      </c>
    </row>
    <row r="3">
      <c r="A3" s="8" t="inlineStr">
        <is>
          <t>Qualified leads</t>
        </is>
      </c>
      <c r="B3" s="6">
        <f>COUNTA(Leads!A2:A4)</f>
        <v/>
      </c>
      <c r="C3" s="9" t="inlineStr">
        <is>
          <t>Rows on the Leads tab.</t>
        </is>
      </c>
    </row>
    <row r="4">
      <c r="A4" s="8" t="inlineStr">
        <is>
          <t>With email</t>
        </is>
      </c>
      <c r="B4" s="6">
        <f>COUNTIF(Leads!H2:H4,"?*")</f>
        <v/>
      </c>
      <c r="C4" s="9" t="inlineStr">
        <is>
          <t>Non-blank Email cells.</t>
        </is>
      </c>
    </row>
    <row r="5">
      <c r="A5" s="8" t="inlineStr">
        <is>
          <t>With phone</t>
        </is>
      </c>
      <c r="B5" s="6">
        <f>COUNTIF(Leads!I2:I4,"?*")</f>
        <v/>
      </c>
      <c r="C5" s="9" t="inlineStr">
        <is>
          <t>Non-blank Phone cells.</t>
        </is>
      </c>
    </row>
    <row r="6">
      <c r="A6" s="8" t="inlineStr">
        <is>
          <t>Contactable</t>
        </is>
      </c>
      <c r="B6" s="6">
        <f>COUNTIF(Leads!K2:K4,"Yes")</f>
        <v/>
      </c>
      <c r="C6" s="9" t="inlineStr">
        <is>
          <t>Either an email or a phone number.</t>
        </is>
      </c>
    </row>
    <row r="7">
      <c r="A7" s="8" t="inlineStr">
        <is>
          <t>Rejected</t>
        </is>
      </c>
      <c r="B7" s="6" t="n">
        <v>3</v>
      </c>
      <c r="C7" s="9" t="inlineStr">
        <is>
          <t>See the Rejected tab for the reason on each.</t>
        </is>
      </c>
    </row>
    <row r="10">
      <c r="A10" s="10" t="inlineStr">
        <is>
          <t>Pipeline</t>
        </is>
      </c>
    </row>
    <row r="11">
      <c r="A11" s="6" t="inlineStr">
        <is>
          <t>New</t>
        </is>
      </c>
      <c r="B11" s="6">
        <f>COUNTIF(Leads!L2:L4,"New")</f>
        <v/>
      </c>
    </row>
    <row r="12">
      <c r="A12" s="6" t="inlineStr">
        <is>
          <t>Contacted</t>
        </is>
      </c>
      <c r="B12" s="6">
        <f>COUNTIF(Leads!L2:L4,"Contacted")</f>
        <v/>
      </c>
    </row>
    <row r="13">
      <c r="A13" s="6" t="inlineStr">
        <is>
          <t>Replied</t>
        </is>
      </c>
      <c r="B13" s="6">
        <f>COUNTIF(Leads!L2:L4,"Replied")</f>
        <v/>
      </c>
    </row>
    <row r="14">
      <c r="A14" s="6" t="inlineStr">
        <is>
          <t>Meeting</t>
        </is>
      </c>
      <c r="B14" s="6">
        <f>COUNTIF(Leads!L2:L4,"Meeting")</f>
        <v/>
      </c>
    </row>
    <row r="15">
      <c r="A15" s="6" t="inlineStr">
        <is>
          <t>Won</t>
        </is>
      </c>
      <c r="B15" s="6">
        <f>COUNTIF(Leads!L2:L4,"Won")</f>
        <v/>
      </c>
    </row>
    <row r="16">
      <c r="A16" s="6" t="inlineStr">
        <is>
          <t>Dead</t>
        </is>
      </c>
      <c r="B16" s="6">
        <f>COUNTIF(Leads!L2:L4,"Dead")</f>
        <v/>
      </c>
    </row>
    <row r="19">
      <c r="A19" s="10" t="inlineStr">
        <is>
          <t>How to use this</t>
        </is>
      </c>
    </row>
    <row r="20">
      <c r="A20" s="9" t="inlineStr">
        <is>
          <t>Yellow cells are yours to edit — column L (Status) and column M (Notes) on the Leads tab.</t>
        </is>
      </c>
    </row>
    <row r="21">
      <c r="A21" s="9" t="inlineStr">
        <is>
          <t>Status accepts: New, Contacted, Replied, Meeting, Won, Dead. The Pipeline counts above follow what you type.</t>
        </is>
      </c>
    </row>
    <row r="22">
      <c r="A22" s="9" t="inlineStr">
        <is>
          <t>Contactable (column K) is a formula. Fill in a missing phone or email and it updates itself.</t>
        </is>
      </c>
    </row>
    <row r="23">
      <c r="A23" s="9" t="inlineStr">
        <is>
          <t>Everything else came from the source and is overwritten on the next export.</t>
        </is>
      </c>
    </row>
    <row r="24">
      <c r="A24" s="9" t="inlineStr">
        <is>
          <t>Filters applied — states: PA; 8 trades; contactable only</t>
        </is>
      </c>
    </row>
  </sheetData>
  <mergeCells count="5">
    <mergeCell ref="A23:C23"/>
    <mergeCell ref="A22:C22"/>
    <mergeCell ref="A21:C21"/>
    <mergeCell ref="A20:C20"/>
    <mergeCell ref="A24:C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2026-09-15T02:02:56Z</dcterms:created>
  <dcterms:modified xsi:type="dcterms:W3CDTF">2026-09-15T02:02:56Z</dcterms:modified>
</cp:coreProperties>
</file>