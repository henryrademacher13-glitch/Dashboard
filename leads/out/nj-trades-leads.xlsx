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jected" sheetId="2" state="visible" r:id="rId2"/>
    <sheet name="Summary" sheetId="3" state="visible" r:id="rId3"/>
  </sheets>
  <definedNames>
    <definedName name="_xlnm._FilterDatabase" localSheetId="0" hidden="1">'Leads'!$A$1:$P$88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7" customWidth="1" min="4" max="4"/>
    <col width="30" customWidth="1" min="5" max="5"/>
    <col width="20" customWidth="1" min="6" max="6"/>
    <col width="20" customWidth="1" min="7" max="7"/>
    <col width="28" customWidth="1" min="8" max="8"/>
    <col width="16" customWidth="1" min="9" max="9"/>
    <col width="11" customWidth="1" min="10" max="10"/>
    <col width="12" customWidth="1" min="11" max="11"/>
    <col width="14" customWidth="1" min="12" max="12"/>
    <col width="30" customWidth="1" min="13" max="13"/>
    <col width="12" customWidth="1" min="14" max="14"/>
    <col width="20" customWidth="1" min="15" max="15"/>
    <col width="14" customWidth="1" min="16" max="16"/>
  </cols>
  <sheetData>
    <row r="1">
      <c r="A1" s="1" t="inlineStr">
        <is>
          <t>Company</t>
        </is>
      </c>
      <c r="B1" s="1" t="inlineStr">
        <is>
          <t>Trade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Contact</t>
        </is>
      </c>
      <c r="G1" s="1" t="inlineStr">
        <is>
          <t>Title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Employees</t>
        </is>
      </c>
      <c r="K1" s="1" t="inlineStr">
        <is>
          <t>Contactable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Source</t>
        </is>
      </c>
      <c r="O1" s="1" t="inlineStr">
        <is>
          <t>Retrieved</t>
        </is>
      </c>
      <c r="P1" s="1" t="inlineStr">
        <is>
          <t>Source ID</t>
        </is>
      </c>
    </row>
    <row r="2">
      <c r="A2" s="2" t="inlineStr">
        <is>
          <t>HomeFix Professionals</t>
        </is>
      </c>
      <c r="B2" s="2" t="inlineStr">
        <is>
          <t>plumbing services, hvac services, electrical services, painting services, roofing gutter services</t>
        </is>
      </c>
      <c r="C2" s="2" t="inlineStr">
        <is>
          <t>Blackwood</t>
        </is>
      </c>
      <c r="D2" s="2" t="inlineStr">
        <is>
          <t>NJ</t>
        </is>
      </c>
      <c r="E2" s="2" t="inlineStr">
        <is>
          <t>http://www.homefixprofessionals.us</t>
        </is>
      </c>
      <c r="F2" s="2" t="n"/>
      <c r="G2" s="2" t="n"/>
      <c r="H2" s="2" t="n"/>
      <c r="I2" s="2" t="inlineStr">
        <is>
          <t>+1 201-470-4482</t>
        </is>
      </c>
      <c r="J2" s="2" t="n">
        <v>1</v>
      </c>
      <c r="K2" s="3">
        <f>IF(OR(H2&lt;&gt;"",I2&lt;&gt;""),"Yes","No")</f>
        <v/>
      </c>
      <c r="L2" s="4" t="inlineStr">
        <is>
          <t>New</t>
        </is>
      </c>
      <c r="M2" s="5" t="n"/>
      <c r="N2" s="2" t="inlineStr">
        <is>
          <t>apollo.io/organizations</t>
        </is>
      </c>
      <c r="O2" s="2" t="inlineStr">
        <is>
          <t>2026-09-17T01:50:54+00:00</t>
        </is>
      </c>
      <c r="P2" s="2" t="inlineStr">
        <is>
          <t>69e2fc4d3e5988000131a2a4</t>
        </is>
      </c>
    </row>
    <row r="3">
      <c r="A3" s="2" t="inlineStr">
        <is>
          <t>NAVAC HVAC</t>
        </is>
      </c>
      <c r="B3" s="2" t="inlineStr">
        <is>
          <t>hvac tools, vacuum pumps, refrigerant recovery</t>
        </is>
      </c>
      <c r="C3" s="2" t="inlineStr">
        <is>
          <t>Lyndhurst</t>
        </is>
      </c>
      <c r="D3" s="2" t="inlineStr">
        <is>
          <t>NJ</t>
        </is>
      </c>
      <c r="E3" s="2" t="inlineStr">
        <is>
          <t>http://www.navacglobal.com</t>
        </is>
      </c>
      <c r="F3" s="2" t="n"/>
      <c r="G3" s="2" t="n"/>
      <c r="H3" s="2" t="n"/>
      <c r="I3" s="2" t="inlineStr">
        <is>
          <t>+1 201-939-6699</t>
        </is>
      </c>
      <c r="J3" s="2" t="n">
        <v>34</v>
      </c>
      <c r="K3" s="3">
        <f>IF(OR(H3&lt;&gt;"",I3&lt;&gt;""),"Yes","No")</f>
        <v/>
      </c>
      <c r="L3" s="4" t="inlineStr">
        <is>
          <t>New</t>
        </is>
      </c>
      <c r="M3" s="5" t="n"/>
      <c r="N3" s="2" t="inlineStr">
        <is>
          <t>apollo.io/organizations</t>
        </is>
      </c>
      <c r="O3" s="2" t="inlineStr">
        <is>
          <t>2026-09-17T01:50:54+00:00</t>
        </is>
      </c>
      <c r="P3" s="2" t="inlineStr">
        <is>
          <t>5cb333d8f651255d075fa168</t>
        </is>
      </c>
    </row>
    <row r="4">
      <c r="A4" s="2" t="inlineStr">
        <is>
          <t>MSI Plumbing and Remodeling</t>
        </is>
      </c>
      <c r="B4" s="2" t="inlineStr">
        <is>
          <t>plumbing installs repairs, remodeling services, hvac installation, bathroom remodeling</t>
        </is>
      </c>
      <c r="C4" s="2" t="inlineStr">
        <is>
          <t>Lebanon</t>
        </is>
      </c>
      <c r="D4" s="2" t="inlineStr">
        <is>
          <t>NJ</t>
        </is>
      </c>
      <c r="E4" s="2" t="inlineStr">
        <is>
          <t>http://www.msiplumbingandremodeling.com</t>
        </is>
      </c>
      <c r="F4" s="2" t="n"/>
      <c r="G4" s="2" t="n"/>
      <c r="H4" s="2" t="n"/>
      <c r="I4" s="2" t="inlineStr">
        <is>
          <t>+1 908-735-4438</t>
        </is>
      </c>
      <c r="J4" s="2" t="n">
        <v>7</v>
      </c>
      <c r="K4" s="3">
        <f>IF(OR(H4&lt;&gt;"",I4&lt;&gt;""),"Yes","No")</f>
        <v/>
      </c>
      <c r="L4" s="4" t="inlineStr">
        <is>
          <t>New</t>
        </is>
      </c>
      <c r="M4" s="5" t="n"/>
      <c r="N4" s="2" t="inlineStr">
        <is>
          <t>apollo.io/organizations</t>
        </is>
      </c>
      <c r="O4" s="2" t="inlineStr">
        <is>
          <t>2026-09-17T01:50:54+00:00</t>
        </is>
      </c>
      <c r="P4" s="2" t="inlineStr">
        <is>
          <t>56e3e7ccf3e5bb4c74007649</t>
        </is>
      </c>
    </row>
    <row r="5">
      <c r="A5" s="2" t="inlineStr">
        <is>
          <t>Advanced Facility Solutions, LLC.</t>
        </is>
      </c>
      <c r="B5" s="2" t="inlineStr">
        <is>
          <t>electrical, landscaping, hvac repair, plumbing services, painting, roofing</t>
        </is>
      </c>
      <c r="C5" s="2" t="inlineStr">
        <is>
          <t>Saddle Brook</t>
        </is>
      </c>
      <c r="D5" s="2" t="inlineStr">
        <is>
          <t>NJ</t>
        </is>
      </c>
      <c r="E5" s="2" t="inlineStr">
        <is>
          <t>http://www.advanced-facilitysolutions.com</t>
        </is>
      </c>
      <c r="F5" s="2" t="n"/>
      <c r="G5" s="2" t="n"/>
      <c r="H5" s="2" t="n"/>
      <c r="I5" s="2" t="inlineStr">
        <is>
          <t>+1 844-593-9191</t>
        </is>
      </c>
      <c r="J5" s="2" t="n">
        <v>23</v>
      </c>
      <c r="K5" s="3">
        <f>IF(OR(H5&lt;&gt;"",I5&lt;&gt;""),"Yes","No")</f>
        <v/>
      </c>
      <c r="L5" s="4" t="inlineStr">
        <is>
          <t>New</t>
        </is>
      </c>
      <c r="M5" s="5" t="n"/>
      <c r="N5" s="2" t="inlineStr">
        <is>
          <t>apollo.io/organizations</t>
        </is>
      </c>
      <c r="O5" s="2" t="inlineStr">
        <is>
          <t>2026-09-17T01:50:54+00:00</t>
        </is>
      </c>
      <c r="P5" s="2" t="inlineStr">
        <is>
          <t>5e56f7bcc43add000103cccf</t>
        </is>
      </c>
    </row>
    <row r="6">
      <c r="A6" s="2" t="inlineStr">
        <is>
          <t>CASA BLANCA GENERAL CONTRACTING LLC</t>
        </is>
      </c>
      <c r="B6" s="2" t="inlineStr">
        <is>
          <t>general contracting, kitchen remodeling, painting drywall, roofing siding, masonry concrete work</t>
        </is>
      </c>
      <c r="C6" s="2" t="inlineStr">
        <is>
          <t>Hawthorne</t>
        </is>
      </c>
      <c r="D6" s="2" t="inlineStr">
        <is>
          <t>NJ</t>
        </is>
      </c>
      <c r="E6" s="2" t="inlineStr">
        <is>
          <t>http://www.casablancageneralcontractorsllc.com</t>
        </is>
      </c>
      <c r="F6" s="2" t="n"/>
      <c r="G6" s="2" t="n"/>
      <c r="H6" s="2" t="n"/>
      <c r="I6" s="2" t="inlineStr">
        <is>
          <t>+1 862-249-0299</t>
        </is>
      </c>
      <c r="J6" s="2" t="n">
        <v>5</v>
      </c>
      <c r="K6" s="3">
        <f>IF(OR(H6&lt;&gt;"",I6&lt;&gt;""),"Yes","No")</f>
        <v/>
      </c>
      <c r="L6" s="4" t="inlineStr">
        <is>
          <t>New</t>
        </is>
      </c>
      <c r="M6" s="5" t="n"/>
      <c r="N6" s="2" t="inlineStr">
        <is>
          <t>apollo.io/organizations</t>
        </is>
      </c>
      <c r="O6" s="2" t="inlineStr">
        <is>
          <t>2026-09-17T01:50:54+00:00</t>
        </is>
      </c>
      <c r="P6" s="2" t="inlineStr">
        <is>
          <t>691d436deb003e000104091a</t>
        </is>
      </c>
    </row>
    <row r="7">
      <c r="A7" s="2" t="inlineStr">
        <is>
          <t>Trueform Concrete</t>
        </is>
      </c>
      <c r="B7" s="2" t="inlineStr">
        <is>
          <t>concrete countertops, concrete sinks, custom concrete products</t>
        </is>
      </c>
      <c r="C7" s="2" t="inlineStr">
        <is>
          <t>Wharton</t>
        </is>
      </c>
      <c r="D7" s="2" t="inlineStr">
        <is>
          <t>NJ</t>
        </is>
      </c>
      <c r="E7" s="2" t="inlineStr">
        <is>
          <t>http://www.trueformconcrete.com</t>
        </is>
      </c>
      <c r="F7" s="2" t="n"/>
      <c r="G7" s="2" t="n"/>
      <c r="H7" s="2" t="n"/>
      <c r="I7" s="2" t="inlineStr">
        <is>
          <t>+1 888-474-7977</t>
        </is>
      </c>
      <c r="J7" s="2" t="n">
        <v>17</v>
      </c>
      <c r="K7" s="3">
        <f>IF(OR(H7&lt;&gt;"",I7&lt;&gt;""),"Yes","No")</f>
        <v/>
      </c>
      <c r="L7" s="4" t="inlineStr">
        <is>
          <t>New</t>
        </is>
      </c>
      <c r="M7" s="5" t="n"/>
      <c r="N7" s="2" t="inlineStr">
        <is>
          <t>apollo.io/organizations</t>
        </is>
      </c>
      <c r="O7" s="2" t="inlineStr">
        <is>
          <t>2026-09-17T01:50:54+00:00</t>
        </is>
      </c>
      <c r="P7" s="2" t="inlineStr">
        <is>
          <t>54a135c769702d48e26cc900</t>
        </is>
      </c>
    </row>
    <row r="8">
      <c r="A8" s="2" t="inlineStr">
        <is>
          <t>Magnolia Home Remodeling Group</t>
        </is>
      </c>
      <c r="B8" s="2" t="inlineStr">
        <is>
          <t>home remodeling, roofing, siding, kitchen remodeling, masonry &amp; paving</t>
        </is>
      </c>
      <c r="C8" s="2" t="inlineStr">
        <is>
          <t>Union</t>
        </is>
      </c>
      <c r="D8" s="2" t="inlineStr">
        <is>
          <t>NJ</t>
        </is>
      </c>
      <c r="E8" s="2" t="inlineStr">
        <is>
          <t>http://www.magnoliahomeremodeling.com</t>
        </is>
      </c>
      <c r="F8" s="2" t="n"/>
      <c r="G8" s="2" t="n"/>
      <c r="H8" s="2" t="n"/>
      <c r="I8" s="2" t="inlineStr">
        <is>
          <t>+1 855-624-6655</t>
        </is>
      </c>
      <c r="J8" s="2" t="n">
        <v>10</v>
      </c>
      <c r="K8" s="3">
        <f>IF(OR(H8&lt;&gt;"",I8&lt;&gt;""),"Yes","No")</f>
        <v/>
      </c>
      <c r="L8" s="4" t="inlineStr">
        <is>
          <t>New</t>
        </is>
      </c>
      <c r="M8" s="5" t="n"/>
      <c r="N8" s="2" t="inlineStr">
        <is>
          <t>apollo.io/organizations</t>
        </is>
      </c>
      <c r="O8" s="2" t="inlineStr">
        <is>
          <t>2026-09-17T01:50:54+00:00</t>
        </is>
      </c>
      <c r="P8" s="2" t="inlineStr">
        <is>
          <t>67f78bbf0c90160021cc466c</t>
        </is>
      </c>
    </row>
    <row r="9">
      <c r="A9" s="2" t="inlineStr">
        <is>
          <t>SMG Facilities</t>
        </is>
      </c>
      <c r="B9" s="2" t="inlineStr">
        <is>
          <t>facilities management, electrical, plumbing, landscaping, painting</t>
        </is>
      </c>
      <c r="C9" s="2" t="inlineStr">
        <is>
          <t>Red Bank</t>
        </is>
      </c>
      <c r="D9" s="2" t="inlineStr">
        <is>
          <t>NJ</t>
        </is>
      </c>
      <c r="E9" s="2" t="inlineStr">
        <is>
          <t>http://www.smgfacilities.com</t>
        </is>
      </c>
      <c r="F9" s="2" t="n"/>
      <c r="G9" s="2" t="n"/>
      <c r="H9" s="2" t="n"/>
      <c r="I9" s="2" t="inlineStr">
        <is>
          <t>+1 732-223-5000</t>
        </is>
      </c>
      <c r="J9" s="2" t="n">
        <v>36</v>
      </c>
      <c r="K9" s="3">
        <f>IF(OR(H9&lt;&gt;"",I9&lt;&gt;""),"Yes","No")</f>
        <v/>
      </c>
      <c r="L9" s="4" t="inlineStr">
        <is>
          <t>New</t>
        </is>
      </c>
      <c r="M9" s="5" t="n"/>
      <c r="N9" s="2" t="inlineStr">
        <is>
          <t>apollo.io/organizations</t>
        </is>
      </c>
      <c r="O9" s="2" t="inlineStr">
        <is>
          <t>2026-09-17T01:50:54+00:00</t>
        </is>
      </c>
      <c r="P9" s="2" t="inlineStr">
        <is>
          <t>6049b34d41bcb10001e1e750</t>
        </is>
      </c>
    </row>
    <row r="10">
      <c r="A10" s="2" t="inlineStr">
        <is>
          <t>Agape Construction Group</t>
        </is>
      </c>
      <c r="B10" s="2" t="inlineStr">
        <is>
          <t>painting, remodeling, plumbing, hvac, roofing, custom carpentry</t>
        </is>
      </c>
      <c r="C10" s="2" t="inlineStr">
        <is>
          <t>Runnemede</t>
        </is>
      </c>
      <c r="D10" s="2" t="inlineStr">
        <is>
          <t>NJ</t>
        </is>
      </c>
      <c r="E10" s="2" t="inlineStr">
        <is>
          <t>http://www.agapeconstructiongroup.com</t>
        </is>
      </c>
      <c r="F10" s="2" t="n"/>
      <c r="G10" s="2" t="n"/>
      <c r="H10" s="2" t="n"/>
      <c r="I10" s="2" t="inlineStr">
        <is>
          <t>+1 347-202-8611</t>
        </is>
      </c>
      <c r="J10" s="2" t="n">
        <v>2</v>
      </c>
      <c r="K10" s="3">
        <f>IF(OR(H10&lt;&gt;"",I10&lt;&gt;""),"Yes","No")</f>
        <v/>
      </c>
      <c r="L10" s="4" t="inlineStr">
        <is>
          <t>New</t>
        </is>
      </c>
      <c r="M10" s="5" t="n"/>
      <c r="N10" s="2" t="inlineStr">
        <is>
          <t>apollo.io/organizations</t>
        </is>
      </c>
      <c r="O10" s="2" t="inlineStr">
        <is>
          <t>2026-09-17T01:50:54+00:00</t>
        </is>
      </c>
      <c r="P10" s="2" t="inlineStr">
        <is>
          <t>556d2e27736964127e4cab00</t>
        </is>
      </c>
    </row>
    <row r="11">
      <c r="A11" s="2" t="inlineStr">
        <is>
          <t>DMC Facility Services</t>
        </is>
      </c>
      <c r="B11" s="2" t="inlineStr">
        <is>
          <t>electrical services, painting staining, plumbing, flooring installation, remodeling rollouts</t>
        </is>
      </c>
      <c r="C11" s="2" t="inlineStr">
        <is>
          <t>Cherry Hill</t>
        </is>
      </c>
      <c r="D11" s="2" t="inlineStr">
        <is>
          <t>NJ</t>
        </is>
      </c>
      <c r="E11" s="2" t="inlineStr">
        <is>
          <t>http://www.dmcfacilityservices.com</t>
        </is>
      </c>
      <c r="F11" s="2" t="n"/>
      <c r="G11" s="2" t="n"/>
      <c r="H11" s="2" t="n"/>
      <c r="I11" s="2" t="inlineStr">
        <is>
          <t>+1 844-443-3411</t>
        </is>
      </c>
      <c r="J11" s="2" t="n">
        <v>40</v>
      </c>
      <c r="K11" s="3">
        <f>IF(OR(H11&lt;&gt;"",I11&lt;&gt;""),"Yes","No")</f>
        <v/>
      </c>
      <c r="L11" s="4" t="inlineStr">
        <is>
          <t>New</t>
        </is>
      </c>
      <c r="M11" s="5" t="n"/>
      <c r="N11" s="2" t="inlineStr">
        <is>
          <t>apollo.io/organizations</t>
        </is>
      </c>
      <c r="O11" s="2" t="inlineStr">
        <is>
          <t>2026-09-17T01:50:54+00:00</t>
        </is>
      </c>
      <c r="P11" s="2" t="inlineStr">
        <is>
          <t>54a134be69702d2db437be00</t>
        </is>
      </c>
    </row>
    <row r="12">
      <c r="A12" s="2" t="inlineStr">
        <is>
          <t>Executive Roofing Systems</t>
        </is>
      </c>
      <c r="B12" s="2" t="inlineStr">
        <is>
          <t>commercial roofing, tpo roofing, metal roofing, roof repair, commercial siding</t>
        </is>
      </c>
      <c r="C12" s="2" t="inlineStr">
        <is>
          <t>Marlboro Township</t>
        </is>
      </c>
      <c r="D12" s="2" t="inlineStr">
        <is>
          <t>NJ</t>
        </is>
      </c>
      <c r="E12" s="2" t="inlineStr">
        <is>
          <t>http://www.executiveroof.com</t>
        </is>
      </c>
      <c r="F12" s="2" t="n"/>
      <c r="G12" s="2" t="n"/>
      <c r="H12" s="2" t="n"/>
      <c r="I12" s="2" t="inlineStr">
        <is>
          <t>+1 888-502-7663</t>
        </is>
      </c>
      <c r="J12" s="2" t="n">
        <v>6</v>
      </c>
      <c r="K12" s="3">
        <f>IF(OR(H12&lt;&gt;"",I12&lt;&gt;""),"Yes","No")</f>
        <v/>
      </c>
      <c r="L12" s="4" t="inlineStr">
        <is>
          <t>New</t>
        </is>
      </c>
      <c r="M12" s="5" t="n"/>
      <c r="N12" s="2" t="inlineStr">
        <is>
          <t>apollo.io/organizations</t>
        </is>
      </c>
      <c r="O12" s="2" t="inlineStr">
        <is>
          <t>2026-09-17T01:50:54+00:00</t>
        </is>
      </c>
      <c r="P12" s="2" t="inlineStr">
        <is>
          <t>5e57f47754322100017f91bc</t>
        </is>
      </c>
    </row>
    <row r="13">
      <c r="A13" s="2" t="inlineStr">
        <is>
          <t>NJA Remodeling and Home Improvements, LLC</t>
        </is>
      </c>
      <c r="B13" s="2" t="inlineStr">
        <is>
          <t>residential remodeling, painting, roofing, masonry, siding, flooring</t>
        </is>
      </c>
      <c r="C13" s="2" t="inlineStr">
        <is>
          <t>South Amboy</t>
        </is>
      </c>
      <c r="D13" s="2" t="inlineStr">
        <is>
          <t>NJ</t>
        </is>
      </c>
      <c r="E13" s="2" t="inlineStr">
        <is>
          <t>http://www.njaremodeling.com</t>
        </is>
      </c>
      <c r="F13" s="2" t="n"/>
      <c r="G13" s="2" t="n"/>
      <c r="H13" s="2" t="n"/>
      <c r="I13" s="2" t="inlineStr">
        <is>
          <t>+1 908-472-5249</t>
        </is>
      </c>
      <c r="J13" s="2" t="n">
        <v>6</v>
      </c>
      <c r="K13" s="3">
        <f>IF(OR(H13&lt;&gt;"",I13&lt;&gt;""),"Yes","No")</f>
        <v/>
      </c>
      <c r="L13" s="4" t="inlineStr">
        <is>
          <t>New</t>
        </is>
      </c>
      <c r="M13" s="5" t="n"/>
      <c r="N13" s="2" t="inlineStr">
        <is>
          <t>apollo.io/organizations</t>
        </is>
      </c>
      <c r="O13" s="2" t="inlineStr">
        <is>
          <t>2026-09-17T01:50:54+00:00</t>
        </is>
      </c>
      <c r="P13" s="2" t="inlineStr">
        <is>
          <t>6640847d7c561e0300b674a2</t>
        </is>
      </c>
    </row>
    <row r="14">
      <c r="A14" s="2" t="inlineStr">
        <is>
          <t>On the Spot Home Improvements, Inc.</t>
        </is>
      </c>
      <c r="B14" s="2" t="inlineStr">
        <is>
          <t>kitchen remodel, bath remodel, roofing installation, exterior painting, masonry services</t>
        </is>
      </c>
      <c r="C14" s="2" t="inlineStr">
        <is>
          <t>Saddle Brook</t>
        </is>
      </c>
      <c r="D14" s="2" t="inlineStr">
        <is>
          <t>NJ</t>
        </is>
      </c>
      <c r="E14" s="2" t="inlineStr">
        <is>
          <t>http://www.onthespothome.com</t>
        </is>
      </c>
      <c r="F14" s="2" t="n"/>
      <c r="G14" s="2" t="n"/>
      <c r="H14" s="2" t="n"/>
      <c r="I14" s="2" t="inlineStr">
        <is>
          <t>+1 201-843-1200</t>
        </is>
      </c>
      <c r="J14" s="2" t="n">
        <v>21</v>
      </c>
      <c r="K14" s="3">
        <f>IF(OR(H14&lt;&gt;"",I14&lt;&gt;""),"Yes","No")</f>
        <v/>
      </c>
      <c r="L14" s="4" t="inlineStr">
        <is>
          <t>New</t>
        </is>
      </c>
      <c r="M14" s="5" t="n"/>
      <c r="N14" s="2" t="inlineStr">
        <is>
          <t>apollo.io/organizations</t>
        </is>
      </c>
      <c r="O14" s="2" t="inlineStr">
        <is>
          <t>2026-09-17T01:50:54+00:00</t>
        </is>
      </c>
      <c r="P14" s="2" t="inlineStr">
        <is>
          <t>5f492b0159e72900e34327f6</t>
        </is>
      </c>
    </row>
    <row r="15">
      <c r="A15" s="2" t="inlineStr">
        <is>
          <t>Majestic Property Solutions</t>
        </is>
      </c>
      <c r="B15" s="2" t="inlineStr">
        <is>
          <t>landscaping, remodeling, carpentry, painting, concrete repair, hardscaping</t>
        </is>
      </c>
      <c r="C15" s="2" t="inlineStr">
        <is>
          <t>Evesham Township</t>
        </is>
      </c>
      <c r="D15" s="2" t="inlineStr">
        <is>
          <t>NJ</t>
        </is>
      </c>
      <c r="E15" s="2" t="inlineStr">
        <is>
          <t>http://www.majps.com</t>
        </is>
      </c>
      <c r="F15" s="2" t="n"/>
      <c r="G15" s="2" t="n"/>
      <c r="H15" s="2" t="n"/>
      <c r="I15" s="2" t="inlineStr">
        <is>
          <t>+1 609-318-0204</t>
        </is>
      </c>
      <c r="J15" s="2" t="n">
        <v>4</v>
      </c>
      <c r="K15" s="3">
        <f>IF(OR(H15&lt;&gt;"",I15&lt;&gt;""),"Yes","No")</f>
        <v/>
      </c>
      <c r="L15" s="4" t="inlineStr">
        <is>
          <t>New</t>
        </is>
      </c>
      <c r="M15" s="5" t="n"/>
      <c r="N15" s="2" t="inlineStr">
        <is>
          <t>apollo.io/organizations</t>
        </is>
      </c>
      <c r="O15" s="2" t="inlineStr">
        <is>
          <t>2026-09-17T01:50:54+00:00</t>
        </is>
      </c>
      <c r="P15" s="2" t="inlineStr">
        <is>
          <t>5f490d6bf7fdfc000144752a</t>
        </is>
      </c>
    </row>
    <row r="16">
      <c r="A16" s="2" t="inlineStr">
        <is>
          <t>Professor Gatsby's Heating, Cooling, Plumbing &amp; Electrical</t>
        </is>
      </c>
      <c r="B16" s="2" t="inlineStr">
        <is>
          <t>hvac, plumbing services, furnace repair, ac repair, water heater repair</t>
        </is>
      </c>
      <c r="C16" s="2" t="inlineStr">
        <is>
          <t>West Berlin</t>
        </is>
      </c>
      <c r="D16" s="2" t="inlineStr">
        <is>
          <t>NJ</t>
        </is>
      </c>
      <c r="E16" s="2" t="inlineStr">
        <is>
          <t>http://www.profgatsby.com</t>
        </is>
      </c>
      <c r="F16" s="2" t="n"/>
      <c r="G16" s="2" t="n"/>
      <c r="H16" s="2" t="n"/>
      <c r="I16" s="2" t="inlineStr">
        <is>
          <t>+1 856-885-2231</t>
        </is>
      </c>
      <c r="J16" s="2" t="n">
        <v>10</v>
      </c>
      <c r="K16" s="3">
        <f>IF(OR(H16&lt;&gt;"",I16&lt;&gt;""),"Yes","No")</f>
        <v/>
      </c>
      <c r="L16" s="4" t="inlineStr">
        <is>
          <t>New</t>
        </is>
      </c>
      <c r="M16" s="5" t="n"/>
      <c r="N16" s="2" t="inlineStr">
        <is>
          <t>apollo.io/organizations</t>
        </is>
      </c>
      <c r="O16" s="2" t="inlineStr">
        <is>
          <t>2026-09-17T01:50:54+00:00</t>
        </is>
      </c>
      <c r="P16" s="2" t="inlineStr">
        <is>
          <t>5a9d7c4ca6da98d954d9f820</t>
        </is>
      </c>
    </row>
    <row r="17">
      <c r="A17" s="2" t="inlineStr">
        <is>
          <t>PB Roofing</t>
        </is>
      </c>
      <c r="B17" s="2" t="inlineStr">
        <is>
          <t>commercial roofing, metal roofing, roof repair, roof maintenance, sheet metal</t>
        </is>
      </c>
      <c r="C17" s="2" t="inlineStr">
        <is>
          <t>Elmwood Park</t>
        </is>
      </c>
      <c r="D17" s="2" t="inlineStr">
        <is>
          <t>NJ</t>
        </is>
      </c>
      <c r="E17" s="2" t="inlineStr">
        <is>
          <t>http://www.pbroofingco.com</t>
        </is>
      </c>
      <c r="F17" s="2" t="n"/>
      <c r="G17" s="2" t="n"/>
      <c r="H17" s="2" t="n"/>
      <c r="I17" s="2" t="inlineStr">
        <is>
          <t>+1 201-791-3235</t>
        </is>
      </c>
      <c r="J17" s="2" t="n">
        <v>38</v>
      </c>
      <c r="K17" s="3">
        <f>IF(OR(H17&lt;&gt;"",I17&lt;&gt;""),"Yes","No")</f>
        <v/>
      </c>
      <c r="L17" s="4" t="inlineStr">
        <is>
          <t>New</t>
        </is>
      </c>
      <c r="M17" s="5" t="n"/>
      <c r="N17" s="2" t="inlineStr">
        <is>
          <t>apollo.io/organizations</t>
        </is>
      </c>
      <c r="O17" s="2" t="inlineStr">
        <is>
          <t>2026-09-17T01:50:54+00:00</t>
        </is>
      </c>
      <c r="P17" s="2" t="inlineStr">
        <is>
          <t>556da06973696411de645901</t>
        </is>
      </c>
    </row>
    <row r="18">
      <c r="A18" s="2" t="inlineStr">
        <is>
          <t>Fabbri Concrete Contractors</t>
        </is>
      </c>
      <c r="B18" s="2" t="inlineStr">
        <is>
          <t>concrete construction, structural concrete, foundation work, tilt wall construction</t>
        </is>
      </c>
      <c r="C18" s="2" t="inlineStr">
        <is>
          <t>Vineland</t>
        </is>
      </c>
      <c r="D18" s="2" t="inlineStr">
        <is>
          <t>NJ</t>
        </is>
      </c>
      <c r="E18" s="2" t="inlineStr">
        <is>
          <t>http://www.fabbriconcrete.com</t>
        </is>
      </c>
      <c r="F18" s="2" t="n"/>
      <c r="G18" s="2" t="n"/>
      <c r="H18" s="2" t="n"/>
      <c r="I18" s="2" t="inlineStr">
        <is>
          <t>+1 856-205-0508</t>
        </is>
      </c>
      <c r="J18" s="2" t="n">
        <v>12</v>
      </c>
      <c r="K18" s="3">
        <f>IF(OR(H18&lt;&gt;"",I18&lt;&gt;""),"Yes","No")</f>
        <v/>
      </c>
      <c r="L18" s="4" t="inlineStr">
        <is>
          <t>New</t>
        </is>
      </c>
      <c r="M18" s="5" t="n"/>
      <c r="N18" s="2" t="inlineStr">
        <is>
          <t>apollo.io/organizations</t>
        </is>
      </c>
      <c r="O18" s="2" t="inlineStr">
        <is>
          <t>2026-09-17T01:50:54+00:00</t>
        </is>
      </c>
      <c r="P18" s="2" t="inlineStr">
        <is>
          <t>55f61ea4f3e5bb1985005838</t>
        </is>
      </c>
    </row>
    <row r="19">
      <c r="A19" s="2" t="inlineStr">
        <is>
          <t>Cipollini Roofing</t>
        </is>
      </c>
      <c r="B19" s="2" t="inlineStr">
        <is>
          <t>commercial roofing, metal roofing, roof repair, flat roofing, roof maintenance</t>
        </is>
      </c>
      <c r="C19" s="2" t="inlineStr">
        <is>
          <t>Dover</t>
        </is>
      </c>
      <c r="D19" s="2" t="inlineStr">
        <is>
          <t>NJ</t>
        </is>
      </c>
      <c r="E19" s="2" t="inlineStr">
        <is>
          <t>http://www.cipolliniroofing.com</t>
        </is>
      </c>
      <c r="F19" s="2" t="n"/>
      <c r="G19" s="2" t="n"/>
      <c r="H19" s="2" t="n"/>
      <c r="I19" s="2" t="inlineStr">
        <is>
          <t>+1 973-989-1110</t>
        </is>
      </c>
      <c r="J19" s="2" t="n">
        <v>6</v>
      </c>
      <c r="K19" s="3">
        <f>IF(OR(H19&lt;&gt;"",I19&lt;&gt;""),"Yes","No")</f>
        <v/>
      </c>
      <c r="L19" s="4" t="inlineStr">
        <is>
          <t>New</t>
        </is>
      </c>
      <c r="M19" s="5" t="n"/>
      <c r="N19" s="2" t="inlineStr">
        <is>
          <t>apollo.io/organizations</t>
        </is>
      </c>
      <c r="O19" s="2" t="inlineStr">
        <is>
          <t>2026-09-17T01:50:54+00:00</t>
        </is>
      </c>
      <c r="P19" s="2" t="inlineStr">
        <is>
          <t>54a1c8eb74686945fa2eb810</t>
        </is>
      </c>
    </row>
    <row r="20">
      <c r="A20" s="2" t="inlineStr">
        <is>
          <t>Chap Construction</t>
        </is>
      </c>
      <c r="B20" s="2" t="inlineStr">
        <is>
          <t>custom home builder, remodeling, electrical, plumbing, hvac, roofing</t>
        </is>
      </c>
      <c r="C20" s="2" t="inlineStr">
        <is>
          <t>Berkeley Township</t>
        </is>
      </c>
      <c r="D20" s="2" t="inlineStr">
        <is>
          <t>NJ</t>
        </is>
      </c>
      <c r="E20" s="2" t="inlineStr">
        <is>
          <t>http://www.chapconstruction.com</t>
        </is>
      </c>
      <c r="F20" s="2" t="n"/>
      <c r="G20" s="2" t="n"/>
      <c r="H20" s="2" t="n"/>
      <c r="I20" s="2" t="inlineStr">
        <is>
          <t>+1 732-349-3223</t>
        </is>
      </c>
      <c r="J20" s="2" t="n">
        <v>7</v>
      </c>
      <c r="K20" s="3">
        <f>IF(OR(H20&lt;&gt;"",I20&lt;&gt;""),"Yes","No")</f>
        <v/>
      </c>
      <c r="L20" s="4" t="inlineStr">
        <is>
          <t>New</t>
        </is>
      </c>
      <c r="M20" s="5" t="n"/>
      <c r="N20" s="2" t="inlineStr">
        <is>
          <t>apollo.io/organizations</t>
        </is>
      </c>
      <c r="O20" s="2" t="inlineStr">
        <is>
          <t>2026-09-17T01:50:54+00:00</t>
        </is>
      </c>
      <c r="P20" s="2" t="inlineStr">
        <is>
          <t>6677b228347d480374cf64d0</t>
        </is>
      </c>
    </row>
    <row r="21">
      <c r="A21" s="2" t="inlineStr">
        <is>
          <t>Creative Custom Construction, Inc.</t>
        </is>
      </c>
      <c r="B21" s="2" t="inlineStr">
        <is>
          <t>general construction, kitchen renovations, roofing siding, painting, landscaping, carpentry</t>
        </is>
      </c>
      <c r="C21" s="2" t="inlineStr">
        <is>
          <t>Allentown</t>
        </is>
      </c>
      <c r="D21" s="2" t="inlineStr">
        <is>
          <t>NJ</t>
        </is>
      </c>
      <c r="E21" s="2" t="inlineStr">
        <is>
          <t>http://www.cccinc2013.com</t>
        </is>
      </c>
      <c r="F21" s="2" t="n"/>
      <c r="G21" s="2" t="n"/>
      <c r="H21" s="2" t="n"/>
      <c r="I21" s="2" t="inlineStr">
        <is>
          <t>+1 609-851-4346</t>
        </is>
      </c>
      <c r="J21" s="2" t="n">
        <v>3</v>
      </c>
      <c r="K21" s="3">
        <f>IF(OR(H21&lt;&gt;"",I21&lt;&gt;""),"Yes","No")</f>
        <v/>
      </c>
      <c r="L21" s="4" t="inlineStr">
        <is>
          <t>New</t>
        </is>
      </c>
      <c r="M21" s="5" t="n"/>
      <c r="N21" s="2" t="inlineStr">
        <is>
          <t>apollo.io/organizations</t>
        </is>
      </c>
      <c r="O21" s="2" t="inlineStr">
        <is>
          <t>2026-09-17T01:50:54+00:00</t>
        </is>
      </c>
      <c r="P21" s="2" t="inlineStr">
        <is>
          <t>5a9dc00ba6da98d95ff8f633</t>
        </is>
      </c>
    </row>
    <row r="22">
      <c r="A22" s="2" t="inlineStr">
        <is>
          <t>Academy Service Group</t>
        </is>
      </c>
      <c r="B22" s="2" t="inlineStr">
        <is>
          <t>plumbing, hvac, painting, electrical, landscaping, janitorial</t>
        </is>
      </c>
      <c r="C22" s="2" t="inlineStr">
        <is>
          <t>Hackensack</t>
        </is>
      </c>
      <c r="D22" s="2" t="inlineStr">
        <is>
          <t>NJ</t>
        </is>
      </c>
      <c r="E22" s="2" t="inlineStr">
        <is>
          <t>http://www.academyservicegroup.com</t>
        </is>
      </c>
      <c r="F22" s="2" t="n"/>
      <c r="G22" s="2" t="n"/>
      <c r="H22" s="2" t="n"/>
      <c r="I22" s="2" t="inlineStr">
        <is>
          <t>+1 800-235-4393</t>
        </is>
      </c>
      <c r="J22" s="2" t="n">
        <v>23</v>
      </c>
      <c r="K22" s="3">
        <f>IF(OR(H22&lt;&gt;"",I22&lt;&gt;""),"Yes","No")</f>
        <v/>
      </c>
      <c r="L22" s="4" t="inlineStr">
        <is>
          <t>New</t>
        </is>
      </c>
      <c r="M22" s="5" t="n"/>
      <c r="N22" s="2" t="inlineStr">
        <is>
          <t>apollo.io/organizations</t>
        </is>
      </c>
      <c r="O22" s="2" t="inlineStr">
        <is>
          <t>2026-09-17T01:50:54+00:00</t>
        </is>
      </c>
      <c r="P22" s="2" t="inlineStr">
        <is>
          <t>54a1208869702d94a4f14302</t>
        </is>
      </c>
    </row>
    <row r="23">
      <c r="A23" s="2" t="inlineStr">
        <is>
          <t>Genesis Roofing</t>
        </is>
      </c>
      <c r="B23" s="2" t="inlineStr">
        <is>
          <t>roofing services, commercial roofing, siding installation, metal roofing, roof repair</t>
        </is>
      </c>
      <c r="C23" s="2" t="inlineStr">
        <is>
          <t>Clifton</t>
        </is>
      </c>
      <c r="D23" s="2" t="inlineStr">
        <is>
          <t>NJ</t>
        </is>
      </c>
      <c r="E23" s="2" t="inlineStr">
        <is>
          <t>http://www.thegenesisroofing.com</t>
        </is>
      </c>
      <c r="F23" s="2" t="n"/>
      <c r="G23" s="2" t="n"/>
      <c r="H23" s="2" t="n"/>
      <c r="I23" s="2" t="inlineStr">
        <is>
          <t>+1 201-691-8367</t>
        </is>
      </c>
      <c r="J23" s="2" t="n">
        <v>17</v>
      </c>
      <c r="K23" s="3">
        <f>IF(OR(H23&lt;&gt;"",I23&lt;&gt;""),"Yes","No")</f>
        <v/>
      </c>
      <c r="L23" s="4" t="inlineStr">
        <is>
          <t>New</t>
        </is>
      </c>
      <c r="M23" s="5" t="n"/>
      <c r="N23" s="2" t="inlineStr">
        <is>
          <t>apollo.io/organizations</t>
        </is>
      </c>
      <c r="O23" s="2" t="inlineStr">
        <is>
          <t>2026-09-17T01:50:54+00:00</t>
        </is>
      </c>
      <c r="P23" s="2" t="inlineStr">
        <is>
          <t>678867f72f152f02cef1796d</t>
        </is>
      </c>
    </row>
    <row r="24">
      <c r="A24" s="2" t="inlineStr">
        <is>
          <t>Schaible's Plumbing and Heating Inc.</t>
        </is>
      </c>
      <c r="B24" s="2" t="inlineStr">
        <is>
          <t>plumbing, heating, hvac services, water heaters, drain cleaning</t>
        </is>
      </c>
      <c r="C24" s="2" t="inlineStr">
        <is>
          <t>Hampton</t>
        </is>
      </c>
      <c r="D24" s="2" t="inlineStr">
        <is>
          <t>NJ</t>
        </is>
      </c>
      <c r="E24" s="2" t="inlineStr">
        <is>
          <t>http://www.schaiblesplumbing.com</t>
        </is>
      </c>
      <c r="F24" s="2" t="n"/>
      <c r="G24" s="2" t="n"/>
      <c r="H24" s="2" t="n"/>
      <c r="I24" s="2" t="inlineStr">
        <is>
          <t>+1 908-537-6770</t>
        </is>
      </c>
      <c r="J24" s="2" t="n">
        <v>33</v>
      </c>
      <c r="K24" s="3">
        <f>IF(OR(H24&lt;&gt;"",I24&lt;&gt;""),"Yes","No")</f>
        <v/>
      </c>
      <c r="L24" s="4" t="inlineStr">
        <is>
          <t>New</t>
        </is>
      </c>
      <c r="M24" s="5" t="n"/>
      <c r="N24" s="2" t="inlineStr">
        <is>
          <t>apollo.io/organizations</t>
        </is>
      </c>
      <c r="O24" s="2" t="inlineStr">
        <is>
          <t>2026-09-17T01:50:54+00:00</t>
        </is>
      </c>
      <c r="P24" s="2" t="inlineStr">
        <is>
          <t>5d3619ec80f93ec05029ef78</t>
        </is>
      </c>
    </row>
    <row r="25">
      <c r="A25" s="2" t="inlineStr">
        <is>
          <t>Naimoli General Contractors</t>
        </is>
      </c>
      <c r="B25" s="2" t="inlineStr">
        <is>
          <t>commercial construction, plumbing services, electrical services, painting services, flooring installation</t>
        </is>
      </c>
      <c r="C25" s="2" t="inlineStr">
        <is>
          <t>Evesham Township</t>
        </is>
      </c>
      <c r="D25" s="2" t="inlineStr">
        <is>
          <t>NJ</t>
        </is>
      </c>
      <c r="E25" s="2" t="inlineStr">
        <is>
          <t>http://www.naimoligc.com</t>
        </is>
      </c>
      <c r="F25" s="2" t="n"/>
      <c r="G25" s="2" t="n"/>
      <c r="H25" s="2" t="n"/>
      <c r="I25" s="2" t="inlineStr">
        <is>
          <t>+1 856-490-7400</t>
        </is>
      </c>
      <c r="J25" s="2" t="n">
        <v>1</v>
      </c>
      <c r="K25" s="3">
        <f>IF(OR(H25&lt;&gt;"",I25&lt;&gt;""),"Yes","No")</f>
        <v/>
      </c>
      <c r="L25" s="4" t="inlineStr">
        <is>
          <t>New</t>
        </is>
      </c>
      <c r="M25" s="5" t="n"/>
      <c r="N25" s="2" t="inlineStr">
        <is>
          <t>apollo.io/organizations</t>
        </is>
      </c>
      <c r="O25" s="2" t="inlineStr">
        <is>
          <t>2026-09-17T01:50:54+00:00</t>
        </is>
      </c>
      <c r="P25" s="2" t="inlineStr">
        <is>
          <t>66da9a2f99e8ca01b2f79d3f</t>
        </is>
      </c>
    </row>
    <row r="26">
      <c r="A26" s="2" t="inlineStr">
        <is>
          <t>A&amp;A Affordable Home Improvement</t>
        </is>
      </c>
      <c r="B26" s="2" t="inlineStr">
        <is>
          <t>home remodeling, painting, roofing, masonery, flooring installation, landscaping services</t>
        </is>
      </c>
      <c r="C26" s="2" t="inlineStr">
        <is>
          <t>Clifton</t>
        </is>
      </c>
      <c r="D26" s="2" t="inlineStr">
        <is>
          <t>NJ</t>
        </is>
      </c>
      <c r="E26" s="2" t="inlineStr">
        <is>
          <t>http://www.aaaffordablehome.com</t>
        </is>
      </c>
      <c r="F26" s="2" t="n"/>
      <c r="G26" s="2" t="n"/>
      <c r="H26" s="2" t="n"/>
      <c r="I26" s="2" t="inlineStr">
        <is>
          <t>+1 888-264-6977</t>
        </is>
      </c>
      <c r="J26" s="2" t="n">
        <v>3</v>
      </c>
      <c r="K26" s="3">
        <f>IF(OR(H26&lt;&gt;"",I26&lt;&gt;""),"Yes","No")</f>
        <v/>
      </c>
      <c r="L26" s="4" t="inlineStr">
        <is>
          <t>New</t>
        </is>
      </c>
      <c r="M26" s="5" t="n"/>
      <c r="N26" s="2" t="inlineStr">
        <is>
          <t>apollo.io/organizations</t>
        </is>
      </c>
      <c r="O26" s="2" t="inlineStr">
        <is>
          <t>2026-09-17T01:50:54+00:00</t>
        </is>
      </c>
      <c r="P26" s="2" t="inlineStr">
        <is>
          <t>5fcaf822039d520001046bfd</t>
        </is>
      </c>
    </row>
    <row r="27">
      <c r="A27" s="2" t="inlineStr">
        <is>
          <t>Amber Home Improvements</t>
        </is>
      </c>
      <c r="B27" s="2" t="inlineStr">
        <is>
          <t>roofing services, electrical, plumbing, painting, siding installation, remodeling</t>
        </is>
      </c>
      <c r="C27" s="2" t="inlineStr">
        <is>
          <t>Neptune City</t>
        </is>
      </c>
      <c r="D27" s="2" t="inlineStr">
        <is>
          <t>NJ</t>
        </is>
      </c>
      <c r="E27" s="2" t="inlineStr">
        <is>
          <t>http://www.amberhomellc.com</t>
        </is>
      </c>
      <c r="F27" s="2" t="n"/>
      <c r="G27" s="2" t="n"/>
      <c r="H27" s="2" t="n"/>
      <c r="I27" s="2" t="inlineStr">
        <is>
          <t>+1 732-803-2153</t>
        </is>
      </c>
      <c r="J27" s="2" t="n">
        <v>1</v>
      </c>
      <c r="K27" s="3">
        <f>IF(OR(H27&lt;&gt;"",I27&lt;&gt;""),"Yes","No")</f>
        <v/>
      </c>
      <c r="L27" s="4" t="inlineStr">
        <is>
          <t>New</t>
        </is>
      </c>
      <c r="M27" s="5" t="n"/>
      <c r="N27" s="2" t="inlineStr">
        <is>
          <t>apollo.io/organizations</t>
        </is>
      </c>
      <c r="O27" s="2" t="inlineStr">
        <is>
          <t>2026-09-17T01:50:54+00:00</t>
        </is>
      </c>
      <c r="P27" s="2" t="inlineStr">
        <is>
          <t>5fc8ca541545aa00019266f8</t>
        </is>
      </c>
    </row>
    <row r="28">
      <c r="A28" s="2" t="inlineStr">
        <is>
          <t>Princeton Air Conditioning, LLC.</t>
        </is>
      </c>
      <c r="B28" s="2" t="inlineStr">
        <is>
          <t>heating, air conditioning, plumbing, geothermal, water heaters, insulation</t>
        </is>
      </c>
      <c r="C28" s="2" t="inlineStr">
        <is>
          <t>West Windsor Township</t>
        </is>
      </c>
      <c r="D28" s="2" t="inlineStr">
        <is>
          <t>NJ</t>
        </is>
      </c>
      <c r="E28" s="2" t="inlineStr">
        <is>
          <t>http://www.princetonair.com</t>
        </is>
      </c>
      <c r="F28" s="2" t="n"/>
      <c r="G28" s="2" t="n"/>
      <c r="H28" s="2" t="n"/>
      <c r="I28" s="2" t="inlineStr">
        <is>
          <t>+1 609-799-3434</t>
        </is>
      </c>
      <c r="J28" s="2" t="n">
        <v>33</v>
      </c>
      <c r="K28" s="3">
        <f>IF(OR(H28&lt;&gt;"",I28&lt;&gt;""),"Yes","No")</f>
        <v/>
      </c>
      <c r="L28" s="4" t="inlineStr">
        <is>
          <t>New</t>
        </is>
      </c>
      <c r="M28" s="5" t="n"/>
      <c r="N28" s="2" t="inlineStr">
        <is>
          <t>apollo.io/organizations</t>
        </is>
      </c>
      <c r="O28" s="2" t="inlineStr">
        <is>
          <t>2026-09-17T01:50:54+00:00</t>
        </is>
      </c>
      <c r="P28" s="2" t="inlineStr">
        <is>
          <t>54a11f5069702d97c1aaf401</t>
        </is>
      </c>
    </row>
    <row r="29">
      <c r="A29" s="2" t="inlineStr">
        <is>
          <t>Cipriani Remodeling Solutions</t>
        </is>
      </c>
      <c r="B29" s="2" t="inlineStr">
        <is>
          <t>home remodeling, kitchen remodeling, bathroom remodeling, basement remodeling</t>
        </is>
      </c>
      <c r="C29" s="2" t="inlineStr">
        <is>
          <t>Mount Laurel</t>
        </is>
      </c>
      <c r="D29" s="2" t="inlineStr">
        <is>
          <t>NJ</t>
        </is>
      </c>
      <c r="E29" s="2" t="inlineStr">
        <is>
          <t>http://www.ciprianiremodelingsolutions.com</t>
        </is>
      </c>
      <c r="F29" s="2" t="n"/>
      <c r="G29" s="2" t="n"/>
      <c r="H29" s="2" t="n"/>
      <c r="I29" s="2" t="inlineStr">
        <is>
          <t>+1 856-853-8398</t>
        </is>
      </c>
      <c r="J29" s="2" t="n">
        <v>32</v>
      </c>
      <c r="K29" s="3">
        <f>IF(OR(H29&lt;&gt;"",I29&lt;&gt;""),"Yes","No")</f>
        <v/>
      </c>
      <c r="L29" s="4" t="inlineStr">
        <is>
          <t>New</t>
        </is>
      </c>
      <c r="M29" s="5" t="n"/>
      <c r="N29" s="2" t="inlineStr">
        <is>
          <t>apollo.io/organizations</t>
        </is>
      </c>
      <c r="O29" s="2" t="inlineStr">
        <is>
          <t>2026-09-17T01:50:54+00:00</t>
        </is>
      </c>
      <c r="P29" s="2" t="inlineStr">
        <is>
          <t>54a1b1c174686940122ede08</t>
        </is>
      </c>
    </row>
    <row r="30">
      <c r="A30" s="2" t="inlineStr">
        <is>
          <t>Frank's Landscaping LLC</t>
        </is>
      </c>
      <c r="B30" s="2" t="inlineStr">
        <is>
          <t>landscaping services, hardscaping, landscape design, snow removal, paver walkways</t>
        </is>
      </c>
      <c r="C30" s="2" t="inlineStr">
        <is>
          <t>Mantua</t>
        </is>
      </c>
      <c r="D30" s="2" t="inlineStr">
        <is>
          <t>NJ</t>
        </is>
      </c>
      <c r="E30" s="2" t="inlineStr">
        <is>
          <t>http://www.frankslandscapingllc.com</t>
        </is>
      </c>
      <c r="F30" s="2" t="n"/>
      <c r="G30" s="2" t="n"/>
      <c r="H30" s="2" t="n"/>
      <c r="I30" s="2" t="inlineStr">
        <is>
          <t>+1 609-502-3552</t>
        </is>
      </c>
      <c r="J30" s="2" t="n">
        <v>22</v>
      </c>
      <c r="K30" s="3">
        <f>IF(OR(H30&lt;&gt;"",I30&lt;&gt;""),"Yes","No")</f>
        <v/>
      </c>
      <c r="L30" s="4" t="inlineStr">
        <is>
          <t>New</t>
        </is>
      </c>
      <c r="M30" s="5" t="n"/>
      <c r="N30" s="2" t="inlineStr">
        <is>
          <t>apollo.io/organizations</t>
        </is>
      </c>
      <c r="O30" s="2" t="inlineStr">
        <is>
          <t>2026-09-17T01:50:54+00:00</t>
        </is>
      </c>
      <c r="P30" s="2" t="inlineStr">
        <is>
          <t>5da3c8178c688900011d5d8c</t>
        </is>
      </c>
    </row>
    <row r="31">
      <c r="A31" s="2" t="inlineStr">
        <is>
          <t>Concrete Washout Solutions LLC</t>
        </is>
      </c>
      <c r="B31" s="2" t="inlineStr">
        <is>
          <t>concrete washout containers</t>
        </is>
      </c>
      <c r="C31" s="2" t="inlineStr">
        <is>
          <t>Jackson</t>
        </is>
      </c>
      <c r="D31" s="2" t="inlineStr">
        <is>
          <t>NJ</t>
        </is>
      </c>
      <c r="E31" s="2" t="inlineStr">
        <is>
          <t>http://www.njwashout.com</t>
        </is>
      </c>
      <c r="F31" s="2" t="n"/>
      <c r="G31" s="2" t="n"/>
      <c r="H31" s="2" t="n"/>
      <c r="I31" s="2" t="inlineStr">
        <is>
          <t>+1 732-833-4555</t>
        </is>
      </c>
      <c r="J31" s="2" t="n">
        <v>11</v>
      </c>
      <c r="K31" s="3">
        <f>IF(OR(H31&lt;&gt;"",I31&lt;&gt;""),"Yes","No")</f>
        <v/>
      </c>
      <c r="L31" s="4" t="inlineStr">
        <is>
          <t>New</t>
        </is>
      </c>
      <c r="M31" s="5" t="n"/>
      <c r="N31" s="2" t="inlineStr">
        <is>
          <t>apollo.io/organizations</t>
        </is>
      </c>
      <c r="O31" s="2" t="inlineStr">
        <is>
          <t>2026-09-17T01:50:54+00:00</t>
        </is>
      </c>
      <c r="P31" s="2" t="inlineStr">
        <is>
          <t>5da489887ca76a0001973e35</t>
        </is>
      </c>
    </row>
    <row r="32">
      <c r="A32" s="2" t="inlineStr">
        <is>
          <t>Capital Concrete Inc.</t>
        </is>
      </c>
      <c r="B32" s="2" t="inlineStr">
        <is>
          <t>concrete work, concrete slabs, foundation laying, commercial construction</t>
        </is>
      </c>
      <c r="C32" s="2" t="inlineStr">
        <is>
          <t>Elmer</t>
        </is>
      </c>
      <c r="D32" s="2" t="inlineStr">
        <is>
          <t>NJ</t>
        </is>
      </c>
      <c r="E32" s="2" t="inlineStr">
        <is>
          <t>http://www.capitalconcrete.net</t>
        </is>
      </c>
      <c r="F32" s="2" t="n"/>
      <c r="G32" s="2" t="n"/>
      <c r="H32" s="2" t="n"/>
      <c r="I32" s="2" t="inlineStr">
        <is>
          <t>+1 856-358-0696</t>
        </is>
      </c>
      <c r="J32" s="2" t="n">
        <v>27</v>
      </c>
      <c r="K32" s="3">
        <f>IF(OR(H32&lt;&gt;"",I32&lt;&gt;""),"Yes","No")</f>
        <v/>
      </c>
      <c r="L32" s="4" t="inlineStr">
        <is>
          <t>New</t>
        </is>
      </c>
      <c r="M32" s="5" t="n"/>
      <c r="N32" s="2" t="inlineStr">
        <is>
          <t>apollo.io/organizations</t>
        </is>
      </c>
      <c r="O32" s="2" t="inlineStr">
        <is>
          <t>2026-09-17T01:50:54+00:00</t>
        </is>
      </c>
      <c r="P32" s="2" t="inlineStr">
        <is>
          <t>5a9dd370a6da98d9466ff7fb</t>
        </is>
      </c>
    </row>
    <row r="33">
      <c r="A33" s="2" t="inlineStr">
        <is>
          <t>CK Control Temp, Inc.</t>
        </is>
      </c>
      <c r="B33" s="2" t="inlineStr">
        <is>
          <t>commercial hvac, hvac maintenance, refrigeration, building automation controls</t>
        </is>
      </c>
      <c r="C33" s="2" t="inlineStr">
        <is>
          <t>Green Brook Township</t>
        </is>
      </c>
      <c r="D33" s="2" t="inlineStr">
        <is>
          <t>NJ</t>
        </is>
      </c>
      <c r="E33" s="2" t="inlineStr">
        <is>
          <t>http://www.ckcontroltemp.com</t>
        </is>
      </c>
      <c r="F33" s="2" t="n"/>
      <c r="G33" s="2" t="n"/>
      <c r="H33" s="2" t="n"/>
      <c r="I33" s="2" t="inlineStr">
        <is>
          <t>+1 800-358-9904</t>
        </is>
      </c>
      <c r="J33" s="2" t="n">
        <v>38</v>
      </c>
      <c r="K33" s="3">
        <f>IF(OR(H33&lt;&gt;"",I33&lt;&gt;""),"Yes","No")</f>
        <v/>
      </c>
      <c r="L33" s="4" t="inlineStr">
        <is>
          <t>New</t>
        </is>
      </c>
      <c r="M33" s="5" t="n"/>
      <c r="N33" s="2" t="inlineStr">
        <is>
          <t>apollo.io/organizations</t>
        </is>
      </c>
      <c r="O33" s="2" t="inlineStr">
        <is>
          <t>2026-09-17T01:50:54+00:00</t>
        </is>
      </c>
      <c r="P33" s="2" t="inlineStr">
        <is>
          <t>5ee1e6c4bf7502008c570d74</t>
        </is>
      </c>
    </row>
    <row r="34">
      <c r="A34" s="2" t="inlineStr">
        <is>
          <t>Northkit Roofing</t>
        </is>
      </c>
      <c r="B34" s="2" t="inlineStr">
        <is>
          <t>residential roofing, commercial roofing, roof repair, gutters, siding services</t>
        </is>
      </c>
      <c r="C34" s="2" t="inlineStr">
        <is>
          <t>Cedar Grove</t>
        </is>
      </c>
      <c r="D34" s="2" t="inlineStr">
        <is>
          <t>NJ</t>
        </is>
      </c>
      <c r="E34" s="2" t="inlineStr">
        <is>
          <t>http://www.northkitroofing.com</t>
        </is>
      </c>
      <c r="F34" s="2" t="n"/>
      <c r="G34" s="2" t="n"/>
      <c r="H34" s="2" t="n"/>
      <c r="I34" s="2" t="inlineStr">
        <is>
          <t>+1 973-396-7416</t>
        </is>
      </c>
      <c r="J34" s="2" t="n">
        <v>6</v>
      </c>
      <c r="K34" s="3">
        <f>IF(OR(H34&lt;&gt;"",I34&lt;&gt;""),"Yes","No")</f>
        <v/>
      </c>
      <c r="L34" s="4" t="inlineStr">
        <is>
          <t>New</t>
        </is>
      </c>
      <c r="M34" s="5" t="n"/>
      <c r="N34" s="2" t="inlineStr">
        <is>
          <t>apollo.io/organizations</t>
        </is>
      </c>
      <c r="O34" s="2" t="inlineStr">
        <is>
          <t>2026-09-17T01:50:54+00:00</t>
        </is>
      </c>
      <c r="P34" s="2" t="inlineStr">
        <is>
          <t>615ec93e92552d0001d25ae2</t>
        </is>
      </c>
    </row>
    <row r="35">
      <c r="A35" s="2" t="inlineStr">
        <is>
          <t>Patriot Plumbing Services, LLC</t>
        </is>
      </c>
      <c r="B35" s="2" t="inlineStr">
        <is>
          <t>residential commercial plumbing, heating, hvac, remodeling, water treatment sysytems</t>
        </is>
      </c>
      <c r="C35" s="2" t="inlineStr">
        <is>
          <t>Flemington</t>
        </is>
      </c>
      <c r="D35" s="2" t="inlineStr">
        <is>
          <t>NJ</t>
        </is>
      </c>
      <c r="E35" s="2" t="inlineStr">
        <is>
          <t>http://www.patriotplumbernj.com</t>
        </is>
      </c>
      <c r="F35" s="2" t="n"/>
      <c r="G35" s="2" t="n"/>
      <c r="H35" s="2" t="n"/>
      <c r="I35" s="2" t="inlineStr">
        <is>
          <t>+1 908-638-8001</t>
        </is>
      </c>
      <c r="J35" s="2" t="n">
        <v>8</v>
      </c>
      <c r="K35" s="3">
        <f>IF(OR(H35&lt;&gt;"",I35&lt;&gt;""),"Yes","No")</f>
        <v/>
      </c>
      <c r="L35" s="4" t="inlineStr">
        <is>
          <t>New</t>
        </is>
      </c>
      <c r="M35" s="5" t="n"/>
      <c r="N35" s="2" t="inlineStr">
        <is>
          <t>apollo.io/organizations</t>
        </is>
      </c>
      <c r="O35" s="2" t="inlineStr">
        <is>
          <t>2026-09-17T01:50:54+00:00</t>
        </is>
      </c>
      <c r="P35" s="2" t="inlineStr">
        <is>
          <t>5e565167fcbbe4000180d0d2</t>
        </is>
      </c>
    </row>
    <row r="36">
      <c r="A36" s="2" t="inlineStr">
        <is>
          <t>All Jersey Mechanical &amp; Construction, Inc.</t>
        </is>
      </c>
      <c r="B36" s="2" t="inlineStr">
        <is>
          <t>electrical, plumbing, hvac, generator installation, commercial construction</t>
        </is>
      </c>
      <c r="C36" s="2" t="inlineStr">
        <is>
          <t>Cliffwood</t>
        </is>
      </c>
      <c r="D36" s="2" t="inlineStr">
        <is>
          <t>NJ</t>
        </is>
      </c>
      <c r="E36" s="2" t="inlineStr">
        <is>
          <t>http://www.alljerseysystems.com</t>
        </is>
      </c>
      <c r="F36" s="2" t="n"/>
      <c r="G36" s="2" t="n"/>
      <c r="H36" s="2" t="n"/>
      <c r="I36" s="2" t="inlineStr">
        <is>
          <t>+1 732-583-1204</t>
        </is>
      </c>
      <c r="J36" s="2" t="n">
        <v>22</v>
      </c>
      <c r="K36" s="3">
        <f>IF(OR(H36&lt;&gt;"",I36&lt;&gt;""),"Yes","No")</f>
        <v/>
      </c>
      <c r="L36" s="4" t="inlineStr">
        <is>
          <t>New</t>
        </is>
      </c>
      <c r="M36" s="5" t="n"/>
      <c r="N36" s="2" t="inlineStr">
        <is>
          <t>apollo.io/organizations</t>
        </is>
      </c>
      <c r="O36" s="2" t="inlineStr">
        <is>
          <t>2026-09-17T01:50:54+00:00</t>
        </is>
      </c>
      <c r="P36" s="2" t="inlineStr">
        <is>
          <t>54a138db69702d231f412300</t>
        </is>
      </c>
    </row>
    <row r="37">
      <c r="A37" s="2" t="inlineStr">
        <is>
          <t>REEF HVAC LLC HEATING &amp; COOLING / ELECTRIC &amp; PLUMBING</t>
        </is>
      </c>
      <c r="B37" s="2" t="inlineStr">
        <is>
          <t>hvac contractor, heating cooling electric plumbing, repair services</t>
        </is>
      </c>
      <c r="C37" s="2" t="inlineStr">
        <is>
          <t>Montgomery</t>
        </is>
      </c>
      <c r="D37" s="2" t="inlineStr">
        <is>
          <t>NJ</t>
        </is>
      </c>
      <c r="E37" s="2" t="inlineStr">
        <is>
          <t>http://www.reefhvac.com</t>
        </is>
      </c>
      <c r="F37" s="2" t="n"/>
      <c r="G37" s="2" t="n"/>
      <c r="H37" s="2" t="n"/>
      <c r="I37" s="2" t="inlineStr">
        <is>
          <t>+1 610-333-3669</t>
        </is>
      </c>
      <c r="J37" s="2" t="n">
        <v>2</v>
      </c>
      <c r="K37" s="3">
        <f>IF(OR(H37&lt;&gt;"",I37&lt;&gt;""),"Yes","No")</f>
        <v/>
      </c>
      <c r="L37" s="4" t="inlineStr">
        <is>
          <t>New</t>
        </is>
      </c>
      <c r="M37" s="5" t="n"/>
      <c r="N37" s="2" t="inlineStr">
        <is>
          <t>apollo.io/organizations</t>
        </is>
      </c>
      <c r="O37" s="2" t="inlineStr">
        <is>
          <t>2026-09-17T01:50:54+00:00</t>
        </is>
      </c>
      <c r="P37" s="2" t="inlineStr">
        <is>
          <t>64210965f7370c0001d1a6cd</t>
        </is>
      </c>
    </row>
    <row r="38">
      <c r="A38" s="2" t="inlineStr">
        <is>
          <t>Jottan Roofing Inc.</t>
        </is>
      </c>
      <c r="B38" s="2" t="inlineStr">
        <is>
          <t>commercial roofing, flat roofing, metal roofing, roof repair, roof maintenance</t>
        </is>
      </c>
      <c r="C38" s="2" t="inlineStr">
        <is>
          <t>Delran</t>
        </is>
      </c>
      <c r="D38" s="2" t="inlineStr">
        <is>
          <t>NJ</t>
        </is>
      </c>
      <c r="E38" s="2" t="inlineStr">
        <is>
          <t>http://www.jottan.com</t>
        </is>
      </c>
      <c r="F38" s="2" t="n"/>
      <c r="G38" s="2" t="n"/>
      <c r="H38" s="2" t="n"/>
      <c r="I38" s="2" t="inlineStr">
        <is>
          <t>+1 800-364-4234</t>
        </is>
      </c>
      <c r="J38" s="2" t="n">
        <v>39</v>
      </c>
      <c r="K38" s="3">
        <f>IF(OR(H38&lt;&gt;"",I38&lt;&gt;""),"Yes","No")</f>
        <v/>
      </c>
      <c r="L38" s="4" t="inlineStr">
        <is>
          <t>New</t>
        </is>
      </c>
      <c r="M38" s="5" t="n"/>
      <c r="N38" s="2" t="inlineStr">
        <is>
          <t>apollo.io/organizations</t>
        </is>
      </c>
      <c r="O38" s="2" t="inlineStr">
        <is>
          <t>2026-09-17T01:50:54+00:00</t>
        </is>
      </c>
      <c r="P38" s="2" t="inlineStr">
        <is>
          <t>54a1982d74686945faaa3300</t>
        </is>
      </c>
    </row>
    <row r="39">
      <c r="A39" s="2" t="inlineStr">
        <is>
          <t>Action Plumbing</t>
        </is>
      </c>
      <c r="B39" s="2" t="inlineStr">
        <is>
          <t>commercial plumbing, sewer drain cleaning, water heaters, emergency plumbing</t>
        </is>
      </c>
      <c r="C39" s="2" t="inlineStr">
        <is>
          <t>Evesham Township</t>
        </is>
      </c>
      <c r="D39" s="2" t="inlineStr">
        <is>
          <t>NJ</t>
        </is>
      </c>
      <c r="E39" s="2" t="inlineStr">
        <is>
          <t>http://www.actionplumbing24.com</t>
        </is>
      </c>
      <c r="F39" s="2" t="n"/>
      <c r="G39" s="2" t="n"/>
      <c r="H39" s="2" t="n"/>
      <c r="I39" s="2" t="inlineStr">
        <is>
          <t>+1 609-261-9407</t>
        </is>
      </c>
      <c r="J39" s="2" t="n">
        <v>31</v>
      </c>
      <c r="K39" s="3">
        <f>IF(OR(H39&lt;&gt;"",I39&lt;&gt;""),"Yes","No")</f>
        <v/>
      </c>
      <c r="L39" s="4" t="inlineStr">
        <is>
          <t>New</t>
        </is>
      </c>
      <c r="M39" s="5" t="n"/>
      <c r="N39" s="2" t="inlineStr">
        <is>
          <t>apollo.io/organizations</t>
        </is>
      </c>
      <c r="O39" s="2" t="inlineStr">
        <is>
          <t>2026-09-17T01:50:54+00:00</t>
        </is>
      </c>
      <c r="P39" s="2" t="inlineStr">
        <is>
          <t>5edaa5cea7f5ea00018e7d16</t>
        </is>
      </c>
    </row>
    <row r="40">
      <c r="A40" s="2" t="inlineStr">
        <is>
          <t>High Point Roofing and Remodeling</t>
        </is>
      </c>
      <c r="B40" s="2" t="inlineStr">
        <is>
          <t>roofing, siding installation, gutters, window replacement, exterior remodeling</t>
        </is>
      </c>
      <c r="C40" s="2" t="inlineStr">
        <is>
          <t>Pilesgrove</t>
        </is>
      </c>
      <c r="D40" s="2" t="inlineStr">
        <is>
          <t>NJ</t>
        </is>
      </c>
      <c r="E40" s="2" t="inlineStr">
        <is>
          <t>http://www.hproofs.com</t>
        </is>
      </c>
      <c r="F40" s="2" t="n"/>
      <c r="G40" s="2" t="n"/>
      <c r="H40" s="2" t="n"/>
      <c r="I40" s="2" t="inlineStr">
        <is>
          <t>+1 856-347-4700</t>
        </is>
      </c>
      <c r="J40" s="2" t="n">
        <v>11</v>
      </c>
      <c r="K40" s="3">
        <f>IF(OR(H40&lt;&gt;"",I40&lt;&gt;""),"Yes","No")</f>
        <v/>
      </c>
      <c r="L40" s="4" t="inlineStr">
        <is>
          <t>New</t>
        </is>
      </c>
      <c r="M40" s="5" t="n"/>
      <c r="N40" s="2" t="inlineStr">
        <is>
          <t>apollo.io/organizations</t>
        </is>
      </c>
      <c r="O40" s="2" t="inlineStr">
        <is>
          <t>2026-09-17T01:50:54+00:00</t>
        </is>
      </c>
      <c r="P40" s="2" t="inlineStr">
        <is>
          <t>61ad3e91a294f3000198acfd</t>
        </is>
      </c>
    </row>
    <row r="41">
      <c r="A41" s="2" t="inlineStr">
        <is>
          <t>Harris Plumbing, Heating, Air, &amp; Electric</t>
        </is>
      </c>
      <c r="B41" s="2" t="inlineStr">
        <is>
          <t>plumbing, heating, air conditioning, electrical, drain cleaning, water heaters</t>
        </is>
      </c>
      <c r="C41" s="2" t="inlineStr">
        <is>
          <t>Woodbury</t>
        </is>
      </c>
      <c r="D41" s="2" t="inlineStr">
        <is>
          <t>NJ</t>
        </is>
      </c>
      <c r="E41" s="2" t="inlineStr">
        <is>
          <t>http://www.callharrisnow.com</t>
        </is>
      </c>
      <c r="F41" s="2" t="n"/>
      <c r="G41" s="2" t="n"/>
      <c r="H41" s="2" t="n"/>
      <c r="I41" s="2" t="inlineStr">
        <is>
          <t>+1 856-935-8888</t>
        </is>
      </c>
      <c r="J41" s="2" t="n">
        <v>23</v>
      </c>
      <c r="K41" s="3">
        <f>IF(OR(H41&lt;&gt;"",I41&lt;&gt;""),"Yes","No")</f>
        <v/>
      </c>
      <c r="L41" s="4" t="inlineStr">
        <is>
          <t>New</t>
        </is>
      </c>
      <c r="M41" s="5" t="n"/>
      <c r="N41" s="2" t="inlineStr">
        <is>
          <t>apollo.io/organizations</t>
        </is>
      </c>
      <c r="O41" s="2" t="inlineStr">
        <is>
          <t>2026-09-17T01:50:54+00:00</t>
        </is>
      </c>
      <c r="P41" s="2" t="inlineStr">
        <is>
          <t>6138ac5254ec1e00a4b0d6f6</t>
        </is>
      </c>
    </row>
    <row r="42">
      <c r="A42" s="2" t="inlineStr">
        <is>
          <t>Klima New Jersey</t>
        </is>
      </c>
      <c r="B42" s="2" t="inlineStr">
        <is>
          <t>hvac services, building automation, hvac maintenance, controls solutions</t>
        </is>
      </c>
      <c r="C42" s="2" t="inlineStr">
        <is>
          <t>Edison</t>
        </is>
      </c>
      <c r="D42" s="2" t="inlineStr">
        <is>
          <t>NJ</t>
        </is>
      </c>
      <c r="E42" s="2" t="inlineStr">
        <is>
          <t>http://www.klimanj.com</t>
        </is>
      </c>
      <c r="F42" s="2" t="n"/>
      <c r="G42" s="2" t="n"/>
      <c r="H42" s="2" t="n"/>
      <c r="I42" s="2" t="inlineStr">
        <is>
          <t>+1 732-917-7412</t>
        </is>
      </c>
      <c r="J42" s="2" t="n">
        <v>14</v>
      </c>
      <c r="K42" s="3">
        <f>IF(OR(H42&lt;&gt;"",I42&lt;&gt;""),"Yes","No")</f>
        <v/>
      </c>
      <c r="L42" s="4" t="inlineStr">
        <is>
          <t>New</t>
        </is>
      </c>
      <c r="M42" s="5" t="n"/>
      <c r="N42" s="2" t="inlineStr">
        <is>
          <t>apollo.io/organizations</t>
        </is>
      </c>
      <c r="O42" s="2" t="inlineStr">
        <is>
          <t>2026-09-17T01:50:54+00:00</t>
        </is>
      </c>
      <c r="P42" s="2" t="inlineStr">
        <is>
          <t>5ed1edf16056fe0001ce145c</t>
        </is>
      </c>
    </row>
    <row r="43">
      <c r="A43" s="2" t="inlineStr">
        <is>
          <t>Tanis Concrete Inc.</t>
        </is>
      </c>
      <c r="B43" s="2" t="inlineStr">
        <is>
          <t>ready-mix concrete, concrete delivery, concrete supplier, decorative concrete</t>
        </is>
      </c>
      <c r="C43" s="2" t="inlineStr">
        <is>
          <t>Fair Lawn</t>
        </is>
      </c>
      <c r="D43" s="2" t="inlineStr">
        <is>
          <t>NJ</t>
        </is>
      </c>
      <c r="E43" s="2" t="inlineStr">
        <is>
          <t>http://www.tanisconcrete.com</t>
        </is>
      </c>
      <c r="F43" s="2" t="n"/>
      <c r="G43" s="2" t="n"/>
      <c r="H43" s="2" t="n"/>
      <c r="I43" s="2" t="inlineStr">
        <is>
          <t>+1 201-796-1556</t>
        </is>
      </c>
      <c r="J43" s="2" t="n">
        <v>25</v>
      </c>
      <c r="K43" s="3">
        <f>IF(OR(H43&lt;&gt;"",I43&lt;&gt;""),"Yes","No")</f>
        <v/>
      </c>
      <c r="L43" s="4" t="inlineStr">
        <is>
          <t>New</t>
        </is>
      </c>
      <c r="M43" s="5" t="n"/>
      <c r="N43" s="2" t="inlineStr">
        <is>
          <t>apollo.io/organizations</t>
        </is>
      </c>
      <c r="O43" s="2" t="inlineStr">
        <is>
          <t>2026-09-17T01:50:54+00:00</t>
        </is>
      </c>
      <c r="P43" s="2" t="inlineStr">
        <is>
          <t>6504211ef74543000129cdd7</t>
        </is>
      </c>
    </row>
    <row r="44">
      <c r="A44" s="2" t="inlineStr">
        <is>
          <t>Alpine Air HVAC</t>
        </is>
      </c>
      <c r="B44" s="2" t="inlineStr">
        <is>
          <t>hvac services, hvac repair, hvac maintenance, plumbing services, commercial hvac</t>
        </is>
      </c>
      <c r="C44" s="2" t="inlineStr">
        <is>
          <t>Lakewood Township</t>
        </is>
      </c>
      <c r="D44" s="2" t="inlineStr">
        <is>
          <t>NJ</t>
        </is>
      </c>
      <c r="E44" s="2" t="inlineStr">
        <is>
          <t>http://www.alpineairhvac.com</t>
        </is>
      </c>
      <c r="F44" s="2" t="n"/>
      <c r="G44" s="2" t="n"/>
      <c r="H44" s="2" t="n"/>
      <c r="I44" s="2" t="inlineStr">
        <is>
          <t>+1 732-800-0180</t>
        </is>
      </c>
      <c r="J44" s="2" t="n">
        <v>1</v>
      </c>
      <c r="K44" s="3">
        <f>IF(OR(H44&lt;&gt;"",I44&lt;&gt;""),"Yes","No")</f>
        <v/>
      </c>
      <c r="L44" s="4" t="inlineStr">
        <is>
          <t>New</t>
        </is>
      </c>
      <c r="M44" s="5" t="n"/>
      <c r="N44" s="2" t="inlineStr">
        <is>
          <t>apollo.io/organizations</t>
        </is>
      </c>
      <c r="O44" s="2" t="inlineStr">
        <is>
          <t>2026-09-17T01:50:54+00:00</t>
        </is>
      </c>
      <c r="P44" s="2" t="inlineStr">
        <is>
          <t>6620936337d16d0007bc1938</t>
        </is>
      </c>
    </row>
    <row r="45">
      <c r="A45" s="2" t="inlineStr">
        <is>
          <t>DelRen HVAC, Inc.</t>
        </is>
      </c>
      <c r="B45" s="2" t="inlineStr">
        <is>
          <t>hvac, hvac equipment, air handling units, ventilation systems</t>
        </is>
      </c>
      <c r="C45" s="2" t="inlineStr">
        <is>
          <t>Barrington</t>
        </is>
      </c>
      <c r="D45" s="2" t="inlineStr">
        <is>
          <t>NJ</t>
        </is>
      </c>
      <c r="E45" s="2" t="inlineStr">
        <is>
          <t>http://www.delren.com</t>
        </is>
      </c>
      <c r="F45" s="2" t="n"/>
      <c r="G45" s="2" t="n"/>
      <c r="H45" s="2" t="n"/>
      <c r="I45" s="2" t="inlineStr">
        <is>
          <t>+1 856-541-1776</t>
        </is>
      </c>
      <c r="J45" s="2" t="n">
        <v>39</v>
      </c>
      <c r="K45" s="3">
        <f>IF(OR(H45&lt;&gt;"",I45&lt;&gt;""),"Yes","No")</f>
        <v/>
      </c>
      <c r="L45" s="4" t="inlineStr">
        <is>
          <t>New</t>
        </is>
      </c>
      <c r="M45" s="5" t="n"/>
      <c r="N45" s="2" t="inlineStr">
        <is>
          <t>apollo.io/organizations</t>
        </is>
      </c>
      <c r="O45" s="2" t="inlineStr">
        <is>
          <t>2026-09-17T01:50:54+00:00</t>
        </is>
      </c>
      <c r="P45" s="2" t="inlineStr">
        <is>
          <t>5d338427a3ae6185115f0455</t>
        </is>
      </c>
    </row>
    <row r="46">
      <c r="A46" s="2" t="inlineStr">
        <is>
          <t>AWAD BUILDERS LLC</t>
        </is>
      </c>
      <c r="B46" s="2" t="inlineStr">
        <is>
          <t>home remodeling renovation, masonry concrete work, landscaping design installation, roofing siding installation</t>
        </is>
      </c>
      <c r="C46" s="2" t="inlineStr">
        <is>
          <t>Keyport</t>
        </is>
      </c>
      <c r="D46" s="2" t="inlineStr">
        <is>
          <t>NJ</t>
        </is>
      </c>
      <c r="E46" s="2" t="inlineStr">
        <is>
          <t>http://www.awadbuilders.com</t>
        </is>
      </c>
      <c r="F46" s="2" t="n"/>
      <c r="G46" s="2" t="n"/>
      <c r="H46" s="2" t="n"/>
      <c r="I46" s="2" t="inlineStr">
        <is>
          <t>+1 732-765-1000</t>
        </is>
      </c>
      <c r="J46" s="2" t="n">
        <v>6</v>
      </c>
      <c r="K46" s="3">
        <f>IF(OR(H46&lt;&gt;"",I46&lt;&gt;""),"Yes","No")</f>
        <v/>
      </c>
      <c r="L46" s="4" t="inlineStr">
        <is>
          <t>New</t>
        </is>
      </c>
      <c r="M46" s="5" t="n"/>
      <c r="N46" s="2" t="inlineStr">
        <is>
          <t>apollo.io/organizations</t>
        </is>
      </c>
      <c r="O46" s="2" t="inlineStr">
        <is>
          <t>2026-09-17T01:50:54+00:00</t>
        </is>
      </c>
      <c r="P46" s="2" t="inlineStr">
        <is>
          <t>63e585ff044e2b0001e1a39f</t>
        </is>
      </c>
    </row>
    <row r="47">
      <c r="A47" s="2" t="inlineStr">
        <is>
          <t>Hubinger Landscaping</t>
        </is>
      </c>
      <c r="B47" s="2" t="inlineStr">
        <is>
          <t>landscaping, landscape design, hardscape, snow removal, retaining walls</t>
        </is>
      </c>
      <c r="C47" s="2" t="inlineStr">
        <is>
          <t>West Milford</t>
        </is>
      </c>
      <c r="D47" s="2" t="inlineStr">
        <is>
          <t>NJ</t>
        </is>
      </c>
      <c r="E47" s="2" t="inlineStr">
        <is>
          <t>http://www.hubingers.com</t>
        </is>
      </c>
      <c r="F47" s="2" t="n"/>
      <c r="G47" s="2" t="n"/>
      <c r="H47" s="2" t="n"/>
      <c r="I47" s="2" t="inlineStr">
        <is>
          <t>+1 219-662-9911</t>
        </is>
      </c>
      <c r="J47" s="2" t="n">
        <v>16</v>
      </c>
      <c r="K47" s="3">
        <f>IF(OR(H47&lt;&gt;"",I47&lt;&gt;""),"Yes","No")</f>
        <v/>
      </c>
      <c r="L47" s="4" t="inlineStr">
        <is>
          <t>New</t>
        </is>
      </c>
      <c r="M47" s="5" t="n"/>
      <c r="N47" s="2" t="inlineStr">
        <is>
          <t>apollo.io/organizations</t>
        </is>
      </c>
      <c r="O47" s="2" t="inlineStr">
        <is>
          <t>2026-09-17T01:50:54+00:00</t>
        </is>
      </c>
      <c r="P47" s="2" t="inlineStr">
        <is>
          <t>57c4cf11a6da986a5f9d9c54</t>
        </is>
      </c>
    </row>
    <row r="48">
      <c r="A48" s="2" t="inlineStr">
        <is>
          <t>Redding's Plumbing, Heating &amp; Air Conditioning</t>
        </is>
      </c>
      <c r="B48" s="2" t="inlineStr">
        <is>
          <t>heating, plumbing, air conditioning, water heaters, bathroom remodeling</t>
        </is>
      </c>
      <c r="C48" s="2" t="inlineStr">
        <is>
          <t>Princeton</t>
        </is>
      </c>
      <c r="D48" s="2" t="inlineStr">
        <is>
          <t>NJ</t>
        </is>
      </c>
      <c r="E48" s="2" t="inlineStr">
        <is>
          <t>http://www.reddings.com</t>
        </is>
      </c>
      <c r="F48" s="2" t="n"/>
      <c r="G48" s="2" t="n"/>
      <c r="H48" s="2" t="n"/>
      <c r="I48" s="2" t="inlineStr">
        <is>
          <t>+1 609-924-0166</t>
        </is>
      </c>
      <c r="J48" s="2" t="n">
        <v>9</v>
      </c>
      <c r="K48" s="3">
        <f>IF(OR(H48&lt;&gt;"",I48&lt;&gt;""),"Yes","No")</f>
        <v/>
      </c>
      <c r="L48" s="4" t="inlineStr">
        <is>
          <t>New</t>
        </is>
      </c>
      <c r="M48" s="5" t="n"/>
      <c r="N48" s="2" t="inlineStr">
        <is>
          <t>apollo.io/organizations</t>
        </is>
      </c>
      <c r="O48" s="2" t="inlineStr">
        <is>
          <t>2026-09-17T01:50:54+00:00</t>
        </is>
      </c>
      <c r="P48" s="2" t="inlineStr">
        <is>
          <t>54a12a0569702d8eebae3902</t>
        </is>
      </c>
    </row>
    <row r="49">
      <c r="A49" s="2" t="inlineStr">
        <is>
          <t>Rahn Companies Site Services</t>
        </is>
      </c>
      <c r="B49" s="2" t="inlineStr">
        <is>
          <t>stucco masonry, stamped concrete flatwork, full service landscaping irrigation, excavation</t>
        </is>
      </c>
      <c r="C49" s="2" t="inlineStr">
        <is>
          <t>Monroe Township</t>
        </is>
      </c>
      <c r="D49" s="2" t="inlineStr">
        <is>
          <t>NJ</t>
        </is>
      </c>
      <c r="E49" s="2" t="inlineStr">
        <is>
          <t>http://www.therahncompanies.com</t>
        </is>
      </c>
      <c r="F49" s="2" t="n"/>
      <c r="G49" s="2" t="n"/>
      <c r="H49" s="2" t="n"/>
      <c r="I49" s="2" t="inlineStr">
        <is>
          <t>+1 856-629-5097</t>
        </is>
      </c>
      <c r="J49" s="2" t="n">
        <v>17</v>
      </c>
      <c r="K49" s="3">
        <f>IF(OR(H49&lt;&gt;"",I49&lt;&gt;""),"Yes","No")</f>
        <v/>
      </c>
      <c r="L49" s="4" t="inlineStr">
        <is>
          <t>New</t>
        </is>
      </c>
      <c r="M49" s="5" t="n"/>
      <c r="N49" s="2" t="inlineStr">
        <is>
          <t>apollo.io/organizations</t>
        </is>
      </c>
      <c r="O49" s="2" t="inlineStr">
        <is>
          <t>2026-09-17T01:50:54+00:00</t>
        </is>
      </c>
      <c r="P49" s="2" t="inlineStr">
        <is>
          <t>5a9f698aa6da98d96d852341</t>
        </is>
      </c>
    </row>
    <row r="50">
      <c r="A50" s="2" t="inlineStr">
        <is>
          <t>Emmons</t>
        </is>
      </c>
      <c r="B50" s="2" t="inlineStr">
        <is>
          <t>roofing, siding, windows, remodeling, commercial roofing, gutter installation</t>
        </is>
      </c>
      <c r="C50" s="2" t="inlineStr">
        <is>
          <t>Monroe Township</t>
        </is>
      </c>
      <c r="D50" s="2" t="inlineStr">
        <is>
          <t>NJ</t>
        </is>
      </c>
      <c r="E50" s="2" t="inlineStr">
        <is>
          <t>http://www.emmonsroofing.com</t>
        </is>
      </c>
      <c r="F50" s="2" t="n"/>
      <c r="G50" s="2" t="n"/>
      <c r="H50" s="2" t="n"/>
      <c r="I50" s="2" t="inlineStr">
        <is>
          <t>+1 856-885-6677</t>
        </is>
      </c>
      <c r="J50" s="2" t="n">
        <v>18</v>
      </c>
      <c r="K50" s="3">
        <f>IF(OR(H50&lt;&gt;"",I50&lt;&gt;""),"Yes","No")</f>
        <v/>
      </c>
      <c r="L50" s="4" t="inlineStr">
        <is>
          <t>New</t>
        </is>
      </c>
      <c r="M50" s="5" t="n"/>
      <c r="N50" s="2" t="inlineStr">
        <is>
          <t>apollo.io/organizations</t>
        </is>
      </c>
      <c r="O50" s="2" t="inlineStr">
        <is>
          <t>2026-09-17T01:50:54+00:00</t>
        </is>
      </c>
      <c r="P50" s="2" t="inlineStr">
        <is>
          <t>5e55cf9d5b661e000154aafe</t>
        </is>
      </c>
    </row>
    <row r="51">
      <c r="A51" s="2" t="inlineStr">
        <is>
          <t>Vista Concrete, LLC</t>
        </is>
      </c>
      <c r="B51" s="2" t="inlineStr">
        <is>
          <t>concrete construction, foundations, structural concrete, flatwork, paving solutions</t>
        </is>
      </c>
      <c r="C51" s="2" t="inlineStr">
        <is>
          <t>Swedesboro</t>
        </is>
      </c>
      <c r="D51" s="2" t="inlineStr">
        <is>
          <t>NJ</t>
        </is>
      </c>
      <c r="E51" s="2" t="inlineStr">
        <is>
          <t>http://www.vista-concrete.com</t>
        </is>
      </c>
      <c r="F51" s="2" t="n"/>
      <c r="G51" s="2" t="n"/>
      <c r="H51" s="2" t="n"/>
      <c r="I51" s="2" t="inlineStr">
        <is>
          <t>+1 215-720-9074</t>
        </is>
      </c>
      <c r="J51" s="2" t="n">
        <v>5</v>
      </c>
      <c r="K51" s="3">
        <f>IF(OR(H51&lt;&gt;"",I51&lt;&gt;""),"Yes","No")</f>
        <v/>
      </c>
      <c r="L51" s="4" t="inlineStr">
        <is>
          <t>New</t>
        </is>
      </c>
      <c r="M51" s="5" t="n"/>
      <c r="N51" s="2" t="inlineStr">
        <is>
          <t>apollo.io/organizations</t>
        </is>
      </c>
      <c r="O51" s="2" t="inlineStr">
        <is>
          <t>2026-09-17T01:50:54+00:00</t>
        </is>
      </c>
      <c r="P51" s="2" t="inlineStr">
        <is>
          <t>6620901ff23832000747c2e7</t>
        </is>
      </c>
    </row>
    <row r="52">
      <c r="A52" s="2" t="inlineStr">
        <is>
          <t>C &amp; C Air Conditioning, Heating, and Plumbing</t>
        </is>
      </c>
      <c r="B52" s="2" t="inlineStr">
        <is>
          <t>hvac, heating, cooling, plumbing, electrical services, generator installation</t>
        </is>
      </c>
      <c r="C52" s="2" t="inlineStr">
        <is>
          <t>Middletown</t>
        </is>
      </c>
      <c r="D52" s="2" t="inlineStr">
        <is>
          <t>NJ</t>
        </is>
      </c>
      <c r="E52" s="2" t="inlineStr">
        <is>
          <t>http://www.candcair.com</t>
        </is>
      </c>
      <c r="F52" s="2" t="n"/>
      <c r="G52" s="2" t="n"/>
      <c r="H52" s="2" t="n"/>
      <c r="I52" s="2" t="inlineStr">
        <is>
          <t>+1 732-860-2660</t>
        </is>
      </c>
      <c r="J52" s="2" t="n">
        <v>27</v>
      </c>
      <c r="K52" s="3">
        <f>IF(OR(H52&lt;&gt;"",I52&lt;&gt;""),"Yes","No")</f>
        <v/>
      </c>
      <c r="L52" s="4" t="inlineStr">
        <is>
          <t>New</t>
        </is>
      </c>
      <c r="M52" s="5" t="n"/>
      <c r="N52" s="2" t="inlineStr">
        <is>
          <t>apollo.io/organizations</t>
        </is>
      </c>
      <c r="O52" s="2" t="inlineStr">
        <is>
          <t>2026-09-17T01:50:54+00:00</t>
        </is>
      </c>
      <c r="P52" s="2" t="inlineStr">
        <is>
          <t>5e570745b5e1ae0001fab891</t>
        </is>
      </c>
    </row>
    <row r="53">
      <c r="A53" s="2" t="inlineStr">
        <is>
          <t>HVAC Services, LLC</t>
        </is>
      </c>
      <c r="B53" s="2" t="inlineStr">
        <is>
          <t>hvac equipment installation, ductwork fabrication, hvac maintenance, mechanical contracting</t>
        </is>
      </c>
      <c r="C53" s="2" t="inlineStr">
        <is>
          <t>Kearny</t>
        </is>
      </c>
      <c r="D53" s="2" t="inlineStr">
        <is>
          <t>NJ</t>
        </is>
      </c>
      <c r="E53" s="2" t="inlineStr">
        <is>
          <t>http://www.hvacllc.com</t>
        </is>
      </c>
      <c r="F53" s="2" t="n"/>
      <c r="G53" s="2" t="n"/>
      <c r="H53" s="2" t="n"/>
      <c r="I53" s="2" t="inlineStr">
        <is>
          <t>+1 201-991-2002</t>
        </is>
      </c>
      <c r="J53" s="2" t="n">
        <v>13</v>
      </c>
      <c r="K53" s="3">
        <f>IF(OR(H53&lt;&gt;"",I53&lt;&gt;""),"Yes","No")</f>
        <v/>
      </c>
      <c r="L53" s="4" t="inlineStr">
        <is>
          <t>New</t>
        </is>
      </c>
      <c r="M53" s="5" t="n"/>
      <c r="N53" s="2" t="inlineStr">
        <is>
          <t>apollo.io/organizations</t>
        </is>
      </c>
      <c r="O53" s="2" t="inlineStr">
        <is>
          <t>2026-09-17T01:50:54+00:00</t>
        </is>
      </c>
      <c r="P53" s="2" t="inlineStr">
        <is>
          <t>5da35343bc199c0001d32faa</t>
        </is>
      </c>
    </row>
    <row r="54">
      <c r="A54" s="2" t="inlineStr">
        <is>
          <t>First Choice Plumbing, Heating, Air Conditioning &amp; Electrical</t>
        </is>
      </c>
      <c r="B54" s="2" t="inlineStr">
        <is>
          <t>hvac installation, hvac repairs, plumbing, electrical, sewer digs excavation</t>
        </is>
      </c>
      <c r="C54" s="2" t="inlineStr">
        <is>
          <t>Metuchen</t>
        </is>
      </c>
      <c r="D54" s="2" t="inlineStr">
        <is>
          <t>NJ</t>
        </is>
      </c>
      <c r="E54" s="2" t="inlineStr">
        <is>
          <t>http://www.fccomfort.com</t>
        </is>
      </c>
      <c r="F54" s="2" t="n"/>
      <c r="G54" s="2" t="n"/>
      <c r="H54" s="2" t="n"/>
      <c r="I54" s="2" t="inlineStr">
        <is>
          <t>+1 201-288-0390</t>
        </is>
      </c>
      <c r="J54" s="2" t="n">
        <v>5</v>
      </c>
      <c r="K54" s="3">
        <f>IF(OR(H54&lt;&gt;"",I54&lt;&gt;""),"Yes","No")</f>
        <v/>
      </c>
      <c r="L54" s="4" t="inlineStr">
        <is>
          <t>New</t>
        </is>
      </c>
      <c r="M54" s="5" t="n"/>
      <c r="N54" s="2" t="inlineStr">
        <is>
          <t>apollo.io/organizations</t>
        </is>
      </c>
      <c r="O54" s="2" t="inlineStr">
        <is>
          <t>2026-09-17T01:50:54+00:00</t>
        </is>
      </c>
      <c r="P54" s="2" t="inlineStr">
        <is>
          <t>6852423f1f0704000142b56c</t>
        </is>
      </c>
    </row>
    <row r="55">
      <c r="A55" s="2" t="inlineStr">
        <is>
          <t>Maven Roofing &amp; Exteriors</t>
        </is>
      </c>
      <c r="B55" s="2" t="inlineStr">
        <is>
          <t>residential roofing, roof repair, gutter installation, metal roof, exterior remodeling</t>
        </is>
      </c>
      <c r="C55" s="2" t="inlineStr">
        <is>
          <t>Mount Olive Township</t>
        </is>
      </c>
      <c r="D55" s="2" t="inlineStr">
        <is>
          <t>NJ</t>
        </is>
      </c>
      <c r="E55" s="2" t="inlineStr">
        <is>
          <t>http://www.mavennj.com</t>
        </is>
      </c>
      <c r="F55" s="2" t="n"/>
      <c r="G55" s="2" t="n"/>
      <c r="H55" s="2" t="n"/>
      <c r="I55" s="2" t="inlineStr">
        <is>
          <t>+1 201-317-2198</t>
        </is>
      </c>
      <c r="J55" s="2" t="n">
        <v>6</v>
      </c>
      <c r="K55" s="3">
        <f>IF(OR(H55&lt;&gt;"",I55&lt;&gt;""),"Yes","No")</f>
        <v/>
      </c>
      <c r="L55" s="4" t="inlineStr">
        <is>
          <t>New</t>
        </is>
      </c>
      <c r="M55" s="5" t="n"/>
      <c r="N55" s="2" t="inlineStr">
        <is>
          <t>apollo.io/organizations</t>
        </is>
      </c>
      <c r="O55" s="2" t="inlineStr">
        <is>
          <t>2026-09-17T01:50:54+00:00</t>
        </is>
      </c>
      <c r="P55" s="2" t="inlineStr">
        <is>
          <t>64995c1b4bca0e00ef5abfe6</t>
        </is>
      </c>
    </row>
    <row r="56">
      <c r="A56" s="2" t="inlineStr">
        <is>
          <t>ALLIED PAINTING, INC.</t>
        </is>
      </c>
      <c r="B56" s="2" t="inlineStr">
        <is>
          <t>industrial painting, bridge painting, water tower painting, protective coatings</t>
        </is>
      </c>
      <c r="C56" s="2" t="inlineStr">
        <is>
          <t>Monroe</t>
        </is>
      </c>
      <c r="D56" s="2" t="inlineStr">
        <is>
          <t>NJ</t>
        </is>
      </c>
      <c r="E56" s="2" t="inlineStr">
        <is>
          <t>http://www.alliedpaintinginc.com</t>
        </is>
      </c>
      <c r="F56" s="2" t="n"/>
      <c r="G56" s="2" t="n"/>
      <c r="H56" s="2" t="n"/>
      <c r="I56" s="2" t="inlineStr">
        <is>
          <t>+1 856-429-3400</t>
        </is>
      </c>
      <c r="J56" s="2" t="n">
        <v>32</v>
      </c>
      <c r="K56" s="3">
        <f>IF(OR(H56&lt;&gt;"",I56&lt;&gt;""),"Yes","No")</f>
        <v/>
      </c>
      <c r="L56" s="4" t="inlineStr">
        <is>
          <t>New</t>
        </is>
      </c>
      <c r="M56" s="5" t="n"/>
      <c r="N56" s="2" t="inlineStr">
        <is>
          <t>apollo.io/organizations</t>
        </is>
      </c>
      <c r="O56" s="2" t="inlineStr">
        <is>
          <t>2026-09-17T01:50:54+00:00</t>
        </is>
      </c>
      <c r="P56" s="2" t="inlineStr">
        <is>
          <t>5fca4311e5e2c5000147f85d</t>
        </is>
      </c>
    </row>
    <row r="57">
      <c r="A57" s="2" t="inlineStr">
        <is>
          <t>Expert Concrete Restoration &amp; Repair</t>
        </is>
      </c>
      <c r="B57" s="2" t="inlineStr">
        <is>
          <t>concrete waterproofing, grout injection, crack repair, foundation repair</t>
        </is>
      </c>
      <c r="C57" s="2" t="inlineStr">
        <is>
          <t>Fairfield</t>
        </is>
      </c>
      <c r="D57" s="2" t="inlineStr">
        <is>
          <t>NJ</t>
        </is>
      </c>
      <c r="E57" s="2" t="inlineStr">
        <is>
          <t>http://www.econrr.com</t>
        </is>
      </c>
      <c r="F57" s="2" t="n"/>
      <c r="G57" s="2" t="n"/>
      <c r="H57" s="2" t="n"/>
      <c r="I57" s="2" t="inlineStr">
        <is>
          <t>+1 201-690-7727</t>
        </is>
      </c>
      <c r="J57" s="2" t="n">
        <v>3</v>
      </c>
      <c r="K57" s="3">
        <f>IF(OR(H57&lt;&gt;"",I57&lt;&gt;""),"Yes","No")</f>
        <v/>
      </c>
      <c r="L57" s="4" t="inlineStr">
        <is>
          <t>New</t>
        </is>
      </c>
      <c r="M57" s="5" t="n"/>
      <c r="N57" s="2" t="inlineStr">
        <is>
          <t>apollo.io/organizations</t>
        </is>
      </c>
      <c r="O57" s="2" t="inlineStr">
        <is>
          <t>2026-09-17T01:50:54+00:00</t>
        </is>
      </c>
      <c r="P57" s="2" t="inlineStr">
        <is>
          <t>5fc9b9b34ef5170001a575db</t>
        </is>
      </c>
    </row>
    <row r="58">
      <c r="A58" s="2" t="inlineStr">
        <is>
          <t>Dream Home Roofing</t>
        </is>
      </c>
      <c r="B58" s="2" t="inlineStr">
        <is>
          <t>roofing, siding, gutters, commercial roofing, storm damage restoration</t>
        </is>
      </c>
      <c r="C58" s="2" t="inlineStr">
        <is>
          <t>Hamilton</t>
        </is>
      </c>
      <c r="D58" s="2" t="inlineStr">
        <is>
          <t>NJ</t>
        </is>
      </c>
      <c r="E58" s="2" t="inlineStr">
        <is>
          <t>http://www.dhroof.com</t>
        </is>
      </c>
      <c r="F58" s="2" t="n"/>
      <c r="G58" s="2" t="n"/>
      <c r="H58" s="2" t="n"/>
      <c r="I58" s="2" t="inlineStr">
        <is>
          <t>+1 609-379-9816</t>
        </is>
      </c>
      <c r="J58" s="2" t="n">
        <v>10</v>
      </c>
      <c r="K58" s="3">
        <f>IF(OR(H58&lt;&gt;"",I58&lt;&gt;""),"Yes","No")</f>
        <v/>
      </c>
      <c r="L58" s="4" t="inlineStr">
        <is>
          <t>New</t>
        </is>
      </c>
      <c r="M58" s="5" t="n"/>
      <c r="N58" s="2" t="inlineStr">
        <is>
          <t>apollo.io/organizations</t>
        </is>
      </c>
      <c r="O58" s="2" t="inlineStr">
        <is>
          <t>2026-09-17T01:50:54+00:00</t>
        </is>
      </c>
      <c r="P58" s="2" t="inlineStr">
        <is>
          <t>680f881ce54df2001d30bb09</t>
        </is>
      </c>
    </row>
    <row r="59">
      <c r="A59" s="2" t="inlineStr">
        <is>
          <t>Premier Concrete Systems</t>
        </is>
      </c>
      <c r="B59" s="2" t="inlineStr">
        <is>
          <t>concrete, reinforced concrete, foundations, structural concrete, excavation</t>
        </is>
      </c>
      <c r="C59" s="2" t="inlineStr">
        <is>
          <t>Englewood Cliffs</t>
        </is>
      </c>
      <c r="D59" s="2" t="inlineStr">
        <is>
          <t>NJ</t>
        </is>
      </c>
      <c r="E59" s="2" t="inlineStr">
        <is>
          <t>http://www.pcsnj.build</t>
        </is>
      </c>
      <c r="F59" s="2" t="n"/>
      <c r="G59" s="2" t="n"/>
      <c r="H59" s="2" t="n"/>
      <c r="I59" s="2" t="inlineStr">
        <is>
          <t>+1 201-461-4663</t>
        </is>
      </c>
      <c r="J59" s="2" t="n">
        <v>8</v>
      </c>
      <c r="K59" s="3">
        <f>IF(OR(H59&lt;&gt;"",I59&lt;&gt;""),"Yes","No")</f>
        <v/>
      </c>
      <c r="L59" s="4" t="inlineStr">
        <is>
          <t>New</t>
        </is>
      </c>
      <c r="M59" s="5" t="n"/>
      <c r="N59" s="2" t="inlineStr">
        <is>
          <t>apollo.io/organizations</t>
        </is>
      </c>
      <c r="O59" s="2" t="inlineStr">
        <is>
          <t>2026-09-17T01:50:54+00:00</t>
        </is>
      </c>
      <c r="P59" s="2" t="inlineStr">
        <is>
          <t>63cd7a9ed41f2800016a6fed</t>
        </is>
      </c>
    </row>
    <row r="60">
      <c r="A60" s="2" t="inlineStr">
        <is>
          <t>MR. HVAC</t>
        </is>
      </c>
      <c r="B60" s="2" t="inlineStr">
        <is>
          <t>hvac repair, hvac installation, refrigeration, commercial hvac, boiler services</t>
        </is>
      </c>
      <c r="C60" s="2" t="inlineStr">
        <is>
          <t>West Berlin</t>
        </is>
      </c>
      <c r="D60" s="2" t="inlineStr">
        <is>
          <t>NJ</t>
        </is>
      </c>
      <c r="E60" s="2" t="inlineStr">
        <is>
          <t>http://www.mrhvacnow.com</t>
        </is>
      </c>
      <c r="F60" s="2" t="n"/>
      <c r="G60" s="2" t="n"/>
      <c r="H60" s="2" t="n"/>
      <c r="I60" s="2" t="inlineStr">
        <is>
          <t>+1 856-484-3000</t>
        </is>
      </c>
      <c r="J60" s="2" t="n">
        <v>8</v>
      </c>
      <c r="K60" s="3">
        <f>IF(OR(H60&lt;&gt;"",I60&lt;&gt;""),"Yes","No")</f>
        <v/>
      </c>
      <c r="L60" s="4" t="inlineStr">
        <is>
          <t>New</t>
        </is>
      </c>
      <c r="M60" s="5" t="n"/>
      <c r="N60" s="2" t="inlineStr">
        <is>
          <t>apollo.io/organizations</t>
        </is>
      </c>
      <c r="O60" s="2" t="inlineStr">
        <is>
          <t>2026-09-17T01:50:54+00:00</t>
        </is>
      </c>
      <c r="P60" s="2" t="inlineStr">
        <is>
          <t>65ae54f690683d031a5e8d74</t>
        </is>
      </c>
    </row>
    <row r="61">
      <c r="A61" s="2" t="inlineStr">
        <is>
          <t>Cardwell HVAC, LLC</t>
        </is>
      </c>
      <c r="B61" s="2" t="inlineStr">
        <is>
          <t>hvac service, hvac maintenance, plumbing services, radiant floor heating, drain cleaning</t>
        </is>
      </c>
      <c r="C61" s="2" t="inlineStr">
        <is>
          <t>Cherry Hill</t>
        </is>
      </c>
      <c r="D61" s="2" t="inlineStr">
        <is>
          <t>NJ</t>
        </is>
      </c>
      <c r="E61" s="2" t="inlineStr">
        <is>
          <t>http://www.cardwellhvacnj.com</t>
        </is>
      </c>
      <c r="F61" s="2" t="n"/>
      <c r="G61" s="2" t="n"/>
      <c r="H61" s="2" t="n"/>
      <c r="I61" s="2" t="inlineStr">
        <is>
          <t>+1 609-330-6641</t>
        </is>
      </c>
      <c r="J61" s="2" t="n">
        <v>7</v>
      </c>
      <c r="K61" s="3">
        <f>IF(OR(H61&lt;&gt;"",I61&lt;&gt;""),"Yes","No")</f>
        <v/>
      </c>
      <c r="L61" s="4" t="inlineStr">
        <is>
          <t>New</t>
        </is>
      </c>
      <c r="M61" s="5" t="n"/>
      <c r="N61" s="2" t="inlineStr">
        <is>
          <t>apollo.io/organizations</t>
        </is>
      </c>
      <c r="O61" s="2" t="inlineStr">
        <is>
          <t>2026-09-17T01:50:54+00:00</t>
        </is>
      </c>
      <c r="P61" s="2" t="inlineStr">
        <is>
          <t>5e57084e5ec9c30001a83b26</t>
        </is>
      </c>
    </row>
    <row r="62">
      <c r="A62" s="2" t="inlineStr">
        <is>
          <t>MJT Roofing</t>
        </is>
      </c>
      <c r="B62" s="2" t="inlineStr">
        <is>
          <t>commercial roofing, roof repairs, metal roofs retrofit, roof coating systems</t>
        </is>
      </c>
      <c r="C62" s="2" t="inlineStr">
        <is>
          <t>Fair Lawn</t>
        </is>
      </c>
      <c r="D62" s="2" t="inlineStr">
        <is>
          <t>NJ</t>
        </is>
      </c>
      <c r="E62" s="2" t="inlineStr">
        <is>
          <t>http://www.mjtroofingnj.com</t>
        </is>
      </c>
      <c r="F62" s="2" t="n"/>
      <c r="G62" s="2" t="n"/>
      <c r="H62" s="2" t="n"/>
      <c r="I62" s="2" t="inlineStr">
        <is>
          <t>+1 201-805-2527</t>
        </is>
      </c>
      <c r="J62" s="2" t="n">
        <v>10</v>
      </c>
      <c r="K62" s="3">
        <f>IF(OR(H62&lt;&gt;"",I62&lt;&gt;""),"Yes","No")</f>
        <v/>
      </c>
      <c r="L62" s="4" t="inlineStr">
        <is>
          <t>New</t>
        </is>
      </c>
      <c r="M62" s="5" t="n"/>
      <c r="N62" s="2" t="inlineStr">
        <is>
          <t>apollo.io/organizations</t>
        </is>
      </c>
      <c r="O62" s="2" t="inlineStr">
        <is>
          <t>2026-09-17T01:50:54+00:00</t>
        </is>
      </c>
      <c r="P62" s="2" t="inlineStr">
        <is>
          <t>5d6ff2bf9b175800d273dbd9</t>
        </is>
      </c>
    </row>
    <row r="63">
      <c r="A63" s="2" t="inlineStr">
        <is>
          <t>Fante's Home Services Heating, Cooling, Plumbing &amp; Electrical</t>
        </is>
      </c>
      <c r="B63" s="2" t="inlineStr">
        <is>
          <t>hvac service installation, furnace repair installation, plumbing service repair</t>
        </is>
      </c>
      <c r="C63" s="2" t="inlineStr">
        <is>
          <t>Willingboro</t>
        </is>
      </c>
      <c r="D63" s="2" t="inlineStr">
        <is>
          <t>NJ</t>
        </is>
      </c>
      <c r="E63" s="2" t="inlineStr">
        <is>
          <t>http://www.fantesphvac.com</t>
        </is>
      </c>
      <c r="F63" s="2" t="n"/>
      <c r="G63" s="2" t="n"/>
      <c r="H63" s="2" t="n"/>
      <c r="I63" s="2" t="inlineStr">
        <is>
          <t>+1 609-445-2939</t>
        </is>
      </c>
      <c r="J63" s="2" t="n">
        <v>18</v>
      </c>
      <c r="K63" s="3">
        <f>IF(OR(H63&lt;&gt;"",I63&lt;&gt;""),"Yes","No")</f>
        <v/>
      </c>
      <c r="L63" s="4" t="inlineStr">
        <is>
          <t>New</t>
        </is>
      </c>
      <c r="M63" s="5" t="n"/>
      <c r="N63" s="2" t="inlineStr">
        <is>
          <t>apollo.io/organizations</t>
        </is>
      </c>
      <c r="O63" s="2" t="inlineStr">
        <is>
          <t>2026-09-17T01:50:54+00:00</t>
        </is>
      </c>
      <c r="P63" s="2" t="inlineStr">
        <is>
          <t>6740584c70d0c60001d0c885</t>
        </is>
      </c>
    </row>
    <row r="64">
      <c r="A64" s="2" t="inlineStr">
        <is>
          <t>Pro-Spec Painting Corporation</t>
        </is>
      </c>
      <c r="B64" s="2" t="inlineStr">
        <is>
          <t>commercial painting, industrial painting, lead abatement, protective coatings</t>
        </is>
      </c>
      <c r="C64" s="2" t="inlineStr">
        <is>
          <t>Vineland</t>
        </is>
      </c>
      <c r="D64" s="2" t="inlineStr">
        <is>
          <t>NJ</t>
        </is>
      </c>
      <c r="E64" s="2" t="inlineStr">
        <is>
          <t>http://www.pro-spec.com</t>
        </is>
      </c>
      <c r="F64" s="2" t="n"/>
      <c r="G64" s="2" t="n"/>
      <c r="H64" s="2" t="n"/>
      <c r="I64" s="2" t="inlineStr">
        <is>
          <t>+1 856-690-9500</t>
        </is>
      </c>
      <c r="J64" s="2" t="n">
        <v>10</v>
      </c>
      <c r="K64" s="3">
        <f>IF(OR(H64&lt;&gt;"",I64&lt;&gt;""),"Yes","No")</f>
        <v/>
      </c>
      <c r="L64" s="4" t="inlineStr">
        <is>
          <t>New</t>
        </is>
      </c>
      <c r="M64" s="5" t="n"/>
      <c r="N64" s="2" t="inlineStr">
        <is>
          <t>apollo.io/organizations</t>
        </is>
      </c>
      <c r="O64" s="2" t="inlineStr">
        <is>
          <t>2026-09-17T01:50:54+00:00</t>
        </is>
      </c>
      <c r="P64" s="2" t="inlineStr">
        <is>
          <t>5569c21b7369642571ff8700</t>
        </is>
      </c>
    </row>
    <row r="65">
      <c r="A65" s="2" t="inlineStr">
        <is>
          <t>A. Brooks Roofing</t>
        </is>
      </c>
      <c r="B65" s="2" t="inlineStr">
        <is>
          <t>commercial roofing, roof repair, roof maintenance, metal roofing systems</t>
        </is>
      </c>
      <c r="C65" s="2" t="inlineStr">
        <is>
          <t>Palmyra</t>
        </is>
      </c>
      <c r="D65" s="2" t="inlineStr">
        <is>
          <t>NJ</t>
        </is>
      </c>
      <c r="E65" s="2" t="inlineStr">
        <is>
          <t>http://www.brooksroofing.com</t>
        </is>
      </c>
      <c r="F65" s="2" t="n"/>
      <c r="G65" s="2" t="n"/>
      <c r="H65" s="2" t="n"/>
      <c r="I65" s="2" t="inlineStr">
        <is>
          <t>+1 856-786-3393</t>
        </is>
      </c>
      <c r="J65" s="2" t="n">
        <v>37</v>
      </c>
      <c r="K65" s="3">
        <f>IF(OR(H65&lt;&gt;"",I65&lt;&gt;""),"Yes","No")</f>
        <v/>
      </c>
      <c r="L65" s="4" t="inlineStr">
        <is>
          <t>New</t>
        </is>
      </c>
      <c r="M65" s="5" t="n"/>
      <c r="N65" s="2" t="inlineStr">
        <is>
          <t>apollo.io/organizations</t>
        </is>
      </c>
      <c r="O65" s="2" t="inlineStr">
        <is>
          <t>2026-09-17T01:50:54+00:00</t>
        </is>
      </c>
      <c r="P65" s="2" t="inlineStr">
        <is>
          <t>55923e4773696448593f8f00</t>
        </is>
      </c>
    </row>
    <row r="66">
      <c r="A66" s="2" t="inlineStr">
        <is>
          <t>Daniel Robert Remodeling</t>
        </is>
      </c>
      <c r="B66" s="2" t="inlineStr">
        <is>
          <t>kitchen remodeling, bathroom remodeling, siding, roofing, home additions</t>
        </is>
      </c>
      <c r="C66" s="2" t="inlineStr">
        <is>
          <t>Blackwood</t>
        </is>
      </c>
      <c r="D66" s="2" t="inlineStr">
        <is>
          <t>NJ</t>
        </is>
      </c>
      <c r="E66" s="2" t="inlineStr">
        <is>
          <t>http://www.danielrobertremodeling.com</t>
        </is>
      </c>
      <c r="F66" s="2" t="n"/>
      <c r="G66" s="2" t="n"/>
      <c r="H66" s="2" t="n"/>
      <c r="I66" s="2" t="inlineStr">
        <is>
          <t>+1 833-326-4350</t>
        </is>
      </c>
      <c r="J66" s="2" t="n">
        <v>13</v>
      </c>
      <c r="K66" s="3">
        <f>IF(OR(H66&lt;&gt;"",I66&lt;&gt;""),"Yes","No")</f>
        <v/>
      </c>
      <c r="L66" s="4" t="inlineStr">
        <is>
          <t>New</t>
        </is>
      </c>
      <c r="M66" s="5" t="n"/>
      <c r="N66" s="2" t="inlineStr">
        <is>
          <t>apollo.io/organizations</t>
        </is>
      </c>
      <c r="O66" s="2" t="inlineStr">
        <is>
          <t>2026-09-17T01:50:54+00:00</t>
        </is>
      </c>
      <c r="P66" s="2" t="inlineStr">
        <is>
          <t>64d6198be64f72008bd4844c</t>
        </is>
      </c>
    </row>
    <row r="67">
      <c r="A67" s="2" t="inlineStr">
        <is>
          <t>Grapevine Pro</t>
        </is>
      </c>
      <c r="B67" s="2" t="inlineStr">
        <is>
          <t>residential roofing, roof repair, gutters, siding installation, window replacement</t>
        </is>
      </c>
      <c r="C67" s="2" t="inlineStr">
        <is>
          <t>Woodbridge Township</t>
        </is>
      </c>
      <c r="D67" s="2" t="inlineStr">
        <is>
          <t>NJ</t>
        </is>
      </c>
      <c r="E67" s="2" t="inlineStr">
        <is>
          <t>http://www.grapevinepro.com</t>
        </is>
      </c>
      <c r="F67" s="2" t="n"/>
      <c r="G67" s="2" t="n"/>
      <c r="H67" s="2" t="n"/>
      <c r="I67" s="2" t="inlineStr">
        <is>
          <t>+1 732-335-7770</t>
        </is>
      </c>
      <c r="J67" s="2" t="n">
        <v>30</v>
      </c>
      <c r="K67" s="3">
        <f>IF(OR(H67&lt;&gt;"",I67&lt;&gt;""),"Yes","No")</f>
        <v/>
      </c>
      <c r="L67" s="4" t="inlineStr">
        <is>
          <t>New</t>
        </is>
      </c>
      <c r="M67" s="5" t="n"/>
      <c r="N67" s="2" t="inlineStr">
        <is>
          <t>apollo.io/organizations</t>
        </is>
      </c>
      <c r="O67" s="2" t="inlineStr">
        <is>
          <t>2026-09-17T01:50:54+00:00</t>
        </is>
      </c>
      <c r="P67" s="2" t="inlineStr">
        <is>
          <t>6006e7a72a0c2c018cbddee9</t>
        </is>
      </c>
    </row>
    <row r="68">
      <c r="A68" s="2" t="inlineStr">
        <is>
          <t>HousePro</t>
        </is>
      </c>
      <c r="B68" s="2" t="inlineStr">
        <is>
          <t>home remodeling, roofing, siding, flooring installation, painting</t>
        </is>
      </c>
      <c r="C68" s="2" t="inlineStr">
        <is>
          <t>Cherry Hill</t>
        </is>
      </c>
      <c r="D68" s="2" t="inlineStr">
        <is>
          <t>NJ</t>
        </is>
      </c>
      <c r="E68" s="2" t="inlineStr">
        <is>
          <t>http://www.housepro.com</t>
        </is>
      </c>
      <c r="F68" s="2" t="n"/>
      <c r="G68" s="2" t="n"/>
      <c r="H68" s="2" t="n"/>
      <c r="I68" s="2" t="inlineStr">
        <is>
          <t>+1 856-281-7029</t>
        </is>
      </c>
      <c r="J68" s="2" t="n">
        <v>5</v>
      </c>
      <c r="K68" s="3">
        <f>IF(OR(H68&lt;&gt;"",I68&lt;&gt;""),"Yes","No")</f>
        <v/>
      </c>
      <c r="L68" s="4" t="inlineStr">
        <is>
          <t>New</t>
        </is>
      </c>
      <c r="M68" s="5" t="n"/>
      <c r="N68" s="2" t="inlineStr">
        <is>
          <t>apollo.io/organizations</t>
        </is>
      </c>
      <c r="O68" s="2" t="inlineStr">
        <is>
          <t>2026-09-17T01:50:54+00:00</t>
        </is>
      </c>
      <c r="P68" s="2" t="inlineStr">
        <is>
          <t>68a810a4e9d1e20021add8b4</t>
        </is>
      </c>
    </row>
    <row r="69">
      <c r="A69" s="2" t="inlineStr">
        <is>
          <t>Innovative Facility Solutions LLC</t>
        </is>
      </c>
      <c r="B69" s="2" t="inlineStr">
        <is>
          <t>plumbing, electrical work, hvac, carpentry, painting wallpaper, landscaping</t>
        </is>
      </c>
      <c r="C69" s="2" t="inlineStr">
        <is>
          <t>Tuckerton</t>
        </is>
      </c>
      <c r="D69" s="2" t="inlineStr">
        <is>
          <t>NJ</t>
        </is>
      </c>
      <c r="E69" s="2" t="inlineStr">
        <is>
          <t>http://www.ifsus.com</t>
        </is>
      </c>
      <c r="F69" s="2" t="n"/>
      <c r="G69" s="2" t="n"/>
      <c r="H69" s="2" t="n"/>
      <c r="I69" s="2" t="inlineStr">
        <is>
          <t>+1 630-570-4549</t>
        </is>
      </c>
      <c r="J69" s="2" t="n">
        <v>15</v>
      </c>
      <c r="K69" s="3">
        <f>IF(OR(H69&lt;&gt;"",I69&lt;&gt;""),"Yes","No")</f>
        <v/>
      </c>
      <c r="L69" s="4" t="inlineStr">
        <is>
          <t>New</t>
        </is>
      </c>
      <c r="M69" s="5" t="n"/>
      <c r="N69" s="2" t="inlineStr">
        <is>
          <t>apollo.io/organizations</t>
        </is>
      </c>
      <c r="O69" s="2" t="inlineStr">
        <is>
          <t>2026-09-17T01:50:54+00:00</t>
        </is>
      </c>
      <c r="P69" s="2" t="inlineStr">
        <is>
          <t>54a12b1e69702d8cfc6f9f02</t>
        </is>
      </c>
    </row>
    <row r="70">
      <c r="A70" s="2" t="inlineStr">
        <is>
          <t>Retule</t>
        </is>
      </c>
      <c r="B70" s="2" t="inlineStr">
        <is>
          <t>plumbing, electrical, carpentry, remodeling, masonry, landscaping</t>
        </is>
      </c>
      <c r="C70" s="2" t="inlineStr">
        <is>
          <t>Red Bank</t>
        </is>
      </c>
      <c r="D70" s="2" t="inlineStr">
        <is>
          <t>NJ</t>
        </is>
      </c>
      <c r="E70" s="2" t="inlineStr">
        <is>
          <t>http://www.retule.com</t>
        </is>
      </c>
      <c r="F70" s="2" t="n"/>
      <c r="G70" s="2" t="n"/>
      <c r="H70" s="2" t="n"/>
      <c r="I70" s="2" t="inlineStr">
        <is>
          <t>+1 630-303-9838</t>
        </is>
      </c>
      <c r="J70" s="2" t="n">
        <v>2</v>
      </c>
      <c r="K70" s="3">
        <f>IF(OR(H70&lt;&gt;"",I70&lt;&gt;""),"Yes","No")</f>
        <v/>
      </c>
      <c r="L70" s="4" t="inlineStr">
        <is>
          <t>New</t>
        </is>
      </c>
      <c r="M70" s="5" t="n"/>
      <c r="N70" s="2" t="inlineStr">
        <is>
          <t>apollo.io/organizations</t>
        </is>
      </c>
      <c r="O70" s="2" t="inlineStr">
        <is>
          <t>2026-09-17T01:50:54+00:00</t>
        </is>
      </c>
      <c r="P70" s="2" t="inlineStr">
        <is>
          <t>5fc915921406c90001735d8a</t>
        </is>
      </c>
    </row>
    <row r="71">
      <c r="A71" s="2" t="inlineStr">
        <is>
          <t>Primetone LLC</t>
        </is>
      </c>
      <c r="B71" s="2" t="inlineStr">
        <is>
          <t>general contracting, remodeling, roofing, plumbing, painting services, flooring</t>
        </is>
      </c>
      <c r="C71" s="2" t="inlineStr">
        <is>
          <t>Bayonne</t>
        </is>
      </c>
      <c r="D71" s="2" t="inlineStr">
        <is>
          <t>NJ</t>
        </is>
      </c>
      <c r="E71" s="2" t="inlineStr">
        <is>
          <t>http://www.primetonenj.com</t>
        </is>
      </c>
      <c r="F71" s="2" t="n"/>
      <c r="G71" s="2" t="n"/>
      <c r="H71" s="2" t="n"/>
      <c r="I71" s="2" t="inlineStr">
        <is>
          <t>+1 201-351-0300</t>
        </is>
      </c>
      <c r="J71" s="2" t="n">
        <v>10</v>
      </c>
      <c r="K71" s="3">
        <f>IF(OR(H71&lt;&gt;"",I71&lt;&gt;""),"Yes","No")</f>
        <v/>
      </c>
      <c r="L71" s="4" t="inlineStr">
        <is>
          <t>New</t>
        </is>
      </c>
      <c r="M71" s="5" t="n"/>
      <c r="N71" s="2" t="inlineStr">
        <is>
          <t>apollo.io/organizations</t>
        </is>
      </c>
      <c r="O71" s="2" t="inlineStr">
        <is>
          <t>2026-09-17T01:50:54+00:00</t>
        </is>
      </c>
      <c r="P71" s="2" t="inlineStr">
        <is>
          <t>6505493b291a99000174024a</t>
        </is>
      </c>
    </row>
    <row r="72">
      <c r="A72" s="2" t="inlineStr">
        <is>
          <t>SWIFT ELECTRICAL SUPPLY</t>
        </is>
      </c>
      <c r="B72" s="2" t="inlineStr">
        <is>
          <t>electrical supplies, electrical distribution, lighting products, switchgear</t>
        </is>
      </c>
      <c r="C72" s="2" t="inlineStr">
        <is>
          <t>Teterboro</t>
        </is>
      </c>
      <c r="D72" s="2" t="inlineStr">
        <is>
          <t>NJ</t>
        </is>
      </c>
      <c r="E72" s="2" t="inlineStr">
        <is>
          <t>http://www.swiftelectrical.com</t>
        </is>
      </c>
      <c r="F72" s="2" t="n"/>
      <c r="G72" s="2" t="n"/>
      <c r="H72" s="2" t="n"/>
      <c r="I72" s="2" t="inlineStr">
        <is>
          <t>+1 201-462-0900</t>
        </is>
      </c>
      <c r="J72" s="2" t="n">
        <v>45</v>
      </c>
      <c r="K72" s="3">
        <f>IF(OR(H72&lt;&gt;"",I72&lt;&gt;""),"Yes","No")</f>
        <v/>
      </c>
      <c r="L72" s="4" t="inlineStr">
        <is>
          <t>New</t>
        </is>
      </c>
      <c r="M72" s="5" t="n"/>
      <c r="N72" s="2" t="inlineStr">
        <is>
          <t>apollo.io/organizations</t>
        </is>
      </c>
      <c r="O72" s="2" t="inlineStr">
        <is>
          <t>2026-09-17T01:50:54+00:00</t>
        </is>
      </c>
      <c r="P72" s="2" t="inlineStr">
        <is>
          <t>54a1396069702d2851f55800</t>
        </is>
      </c>
    </row>
    <row r="73">
      <c r="A73" s="2" t="inlineStr">
        <is>
          <t>BRAD-CORE</t>
        </is>
      </c>
      <c r="B73" s="2" t="inlineStr">
        <is>
          <t>renovations, bathroom remodeling, landscaping, hvac services, plumbing, roofing</t>
        </is>
      </c>
      <c r="C73" s="2" t="inlineStr">
        <is>
          <t>Hackensack</t>
        </is>
      </c>
      <c r="D73" s="2" t="inlineStr">
        <is>
          <t>NJ</t>
        </is>
      </c>
      <c r="E73" s="2" t="inlineStr">
        <is>
          <t>http://www.brad-core.com</t>
        </is>
      </c>
      <c r="F73" s="2" t="n"/>
      <c r="G73" s="2" t="n"/>
      <c r="H73" s="2" t="n"/>
      <c r="I73" s="2" t="inlineStr">
        <is>
          <t>+1 201-342-0663</t>
        </is>
      </c>
      <c r="J73" s="2" t="n">
        <v>3</v>
      </c>
      <c r="K73" s="3">
        <f>IF(OR(H73&lt;&gt;"",I73&lt;&gt;""),"Yes","No")</f>
        <v/>
      </c>
      <c r="L73" s="4" t="inlineStr">
        <is>
          <t>New</t>
        </is>
      </c>
      <c r="M73" s="5" t="n"/>
      <c r="N73" s="2" t="inlineStr">
        <is>
          <t>apollo.io/organizations</t>
        </is>
      </c>
      <c r="O73" s="2" t="inlineStr">
        <is>
          <t>2026-09-17T01:50:54+00:00</t>
        </is>
      </c>
      <c r="P73" s="2" t="inlineStr">
        <is>
          <t>5da47cbba3b18d00018b2439</t>
        </is>
      </c>
    </row>
    <row r="74">
      <c r="A74" s="2" t="inlineStr">
        <is>
          <t>Veterans Worldwide Maintenance</t>
        </is>
      </c>
      <c r="B74" s="2" t="inlineStr">
        <is>
          <t>facility maintenance, commercial hvac, commercial plumbing, electrical services, roofing services</t>
        </is>
      </c>
      <c r="C74" s="2" t="inlineStr">
        <is>
          <t>Hackensack</t>
        </is>
      </c>
      <c r="D74" s="2" t="inlineStr">
        <is>
          <t>NJ</t>
        </is>
      </c>
      <c r="E74" s="2" t="inlineStr">
        <is>
          <t>http://www.vpssinc.com</t>
        </is>
      </c>
      <c r="F74" s="2" t="n"/>
      <c r="G74" s="2" t="n"/>
      <c r="H74" s="2" t="n"/>
      <c r="I74" s="2" t="inlineStr">
        <is>
          <t>+1 800-235-4393</t>
        </is>
      </c>
      <c r="J74" s="2" t="n">
        <v>25</v>
      </c>
      <c r="K74" s="3">
        <f>IF(OR(H74&lt;&gt;"",I74&lt;&gt;""),"Yes","No")</f>
        <v/>
      </c>
      <c r="L74" s="4" t="inlineStr">
        <is>
          <t>New</t>
        </is>
      </c>
      <c r="M74" s="5" t="n"/>
      <c r="N74" s="2" t="inlineStr">
        <is>
          <t>apollo.io/organizations</t>
        </is>
      </c>
      <c r="O74" s="2" t="inlineStr">
        <is>
          <t>2026-09-17T01:50:54+00:00</t>
        </is>
      </c>
      <c r="P74" s="2" t="inlineStr">
        <is>
          <t>54a25d837468693cdd2c341d</t>
        </is>
      </c>
    </row>
    <row r="75">
      <c r="A75" s="2" t="inlineStr">
        <is>
          <t>Falcon Facility Maintenance</t>
        </is>
      </c>
      <c r="B75" s="2" t="inlineStr">
        <is>
          <t>facility maintenance, plumbing, carpentry, concrete repairs, flooring, painting</t>
        </is>
      </c>
      <c r="C75" s="2" t="inlineStr">
        <is>
          <t>Middlesex</t>
        </is>
      </c>
      <c r="D75" s="2" t="inlineStr">
        <is>
          <t>NJ</t>
        </is>
      </c>
      <c r="E75" s="2" t="inlineStr">
        <is>
          <t>http://www.falconmaintenance.net</t>
        </is>
      </c>
      <c r="F75" s="2" t="n"/>
      <c r="G75" s="2" t="n"/>
      <c r="H75" s="2" t="n"/>
      <c r="I75" s="2" t="inlineStr">
        <is>
          <t>+1 732-877-9589</t>
        </is>
      </c>
      <c r="J75" s="2" t="n">
        <v>10</v>
      </c>
      <c r="K75" s="3">
        <f>IF(OR(H75&lt;&gt;"",I75&lt;&gt;""),"Yes","No")</f>
        <v/>
      </c>
      <c r="L75" s="4" t="inlineStr">
        <is>
          <t>New</t>
        </is>
      </c>
      <c r="M75" s="5" t="n"/>
      <c r="N75" s="2" t="inlineStr">
        <is>
          <t>apollo.io/organizations</t>
        </is>
      </c>
      <c r="O75" s="2" t="inlineStr">
        <is>
          <t>2026-09-17T01:50:54+00:00</t>
        </is>
      </c>
      <c r="P75" s="2" t="inlineStr">
        <is>
          <t>54a121b169702d8ed41fc302</t>
        </is>
      </c>
    </row>
    <row r="76">
      <c r="A76" s="2" t="inlineStr">
        <is>
          <t>Wallington Plumbing Supply</t>
        </is>
      </c>
      <c r="B76" s="2" t="inlineStr">
        <is>
          <t>plumbing supplies fittings, hvac units parts, water heaters, fixtures</t>
        </is>
      </c>
      <c r="C76" s="2" t="inlineStr">
        <is>
          <t>Fairfield</t>
        </is>
      </c>
      <c r="D76" s="2" t="inlineStr">
        <is>
          <t>NJ</t>
        </is>
      </c>
      <c r="E76" s="2" t="inlineStr">
        <is>
          <t>http://www.wallingtonplumbingsupply.com</t>
        </is>
      </c>
      <c r="F76" s="2" t="n"/>
      <c r="G76" s="2" t="n"/>
      <c r="H76" s="2" t="n"/>
      <c r="I76" s="2" t="inlineStr">
        <is>
          <t>+1 973-471-2455</t>
        </is>
      </c>
      <c r="J76" s="2" t="n">
        <v>46</v>
      </c>
      <c r="K76" s="3">
        <f>IF(OR(H76&lt;&gt;"",I76&lt;&gt;""),"Yes","No")</f>
        <v/>
      </c>
      <c r="L76" s="4" t="inlineStr">
        <is>
          <t>New</t>
        </is>
      </c>
      <c r="M76" s="5" t="n"/>
      <c r="N76" s="2" t="inlineStr">
        <is>
          <t>apollo.io/organizations</t>
        </is>
      </c>
      <c r="O76" s="2" t="inlineStr">
        <is>
          <t>2026-09-17T01:50:54+00:00</t>
        </is>
      </c>
      <c r="P76" s="2" t="inlineStr">
        <is>
          <t>54a1b7de74686945fa9aaa0a</t>
        </is>
      </c>
    </row>
    <row r="77">
      <c r="A77" s="2" t="inlineStr">
        <is>
          <t>KDS Strategic Search Group</t>
        </is>
      </c>
      <c r="B77" s="2" t="inlineStr">
        <is>
          <t>executive search, it recruiting, electrical, plumbing, talent acquisition</t>
        </is>
      </c>
      <c r="C77" s="2" t="inlineStr">
        <is>
          <t>Westwood</t>
        </is>
      </c>
      <c r="D77" s="2" t="inlineStr">
        <is>
          <t>NJ</t>
        </is>
      </c>
      <c r="E77" s="2" t="inlineStr">
        <is>
          <t>http://www.kdssearch.com</t>
        </is>
      </c>
      <c r="F77" s="2" t="n"/>
      <c r="G77" s="2" t="n"/>
      <c r="H77" s="2" t="n"/>
      <c r="I77" s="2" t="inlineStr">
        <is>
          <t>+1 646-392-8833</t>
        </is>
      </c>
      <c r="J77" s="2" t="n">
        <v>44</v>
      </c>
      <c r="K77" s="3">
        <f>IF(OR(H77&lt;&gt;"",I77&lt;&gt;""),"Yes","No")</f>
        <v/>
      </c>
      <c r="L77" s="4" t="inlineStr">
        <is>
          <t>New</t>
        </is>
      </c>
      <c r="M77" s="5" t="n"/>
      <c r="N77" s="2" t="inlineStr">
        <is>
          <t>apollo.io/organizations</t>
        </is>
      </c>
      <c r="O77" s="2" t="inlineStr">
        <is>
          <t>2026-09-17T01:50:54+00:00</t>
        </is>
      </c>
      <c r="P77" s="2" t="inlineStr">
        <is>
          <t>618938cda5a7370001f9ad5e</t>
        </is>
      </c>
    </row>
    <row r="78">
      <c r="A78" s="2" t="inlineStr">
        <is>
          <t>Engineering Driven Design PC</t>
        </is>
      </c>
      <c r="B78" s="2" t="inlineStr">
        <is>
          <t>consulting engineering, hvac engineering, electrical engineering, plumbing fire protection engineering</t>
        </is>
      </c>
      <c r="C78" s="2" t="inlineStr">
        <is>
          <t>Woodbridge Township</t>
        </is>
      </c>
      <c r="D78" s="2" t="inlineStr">
        <is>
          <t>NJ</t>
        </is>
      </c>
      <c r="E78" s="2" t="inlineStr">
        <is>
          <t>http://www.engineerdriven.com</t>
        </is>
      </c>
      <c r="F78" s="2" t="n"/>
      <c r="G78" s="2" t="n"/>
      <c r="H78" s="2" t="n"/>
      <c r="I78" s="2" t="inlineStr">
        <is>
          <t>+1 888-422-7830</t>
        </is>
      </c>
      <c r="J78" s="2" t="n">
        <v>8</v>
      </c>
      <c r="K78" s="3">
        <f>IF(OR(H78&lt;&gt;"",I78&lt;&gt;""),"Yes","No")</f>
        <v/>
      </c>
      <c r="L78" s="4" t="inlineStr">
        <is>
          <t>New</t>
        </is>
      </c>
      <c r="M78" s="5" t="n"/>
      <c r="N78" s="2" t="inlineStr">
        <is>
          <t>apollo.io/organizations</t>
        </is>
      </c>
      <c r="O78" s="2" t="inlineStr">
        <is>
          <t>2026-09-17T01:50:54+00:00</t>
        </is>
      </c>
      <c r="P78" s="2" t="inlineStr">
        <is>
          <t>55f4bc4af3e5bb165f001a64</t>
        </is>
      </c>
    </row>
    <row r="79">
      <c r="A79" s="2" t="inlineStr">
        <is>
          <t>World Wide Plumbing Supply</t>
        </is>
      </c>
      <c r="B79" s="2" t="inlineStr">
        <is>
          <t>plumbing supplies, heating products, fire sprinklers, valves</t>
        </is>
      </c>
      <c r="C79" s="2" t="inlineStr">
        <is>
          <t>Clifton</t>
        </is>
      </c>
      <c r="D79" s="2" t="inlineStr">
        <is>
          <t>NJ</t>
        </is>
      </c>
      <c r="E79" s="2" t="inlineStr">
        <is>
          <t>http://www.wwplumbingsupply.com</t>
        </is>
      </c>
      <c r="F79" s="2" t="n"/>
      <c r="G79" s="2" t="n"/>
      <c r="H79" s="2" t="n"/>
      <c r="I79" s="2" t="inlineStr">
        <is>
          <t>+1 718-853-3000</t>
        </is>
      </c>
      <c r="J79" s="2" t="n">
        <v>9</v>
      </c>
      <c r="K79" s="3">
        <f>IF(OR(H79&lt;&gt;"",I79&lt;&gt;""),"Yes","No")</f>
        <v/>
      </c>
      <c r="L79" s="4" t="inlineStr">
        <is>
          <t>New</t>
        </is>
      </c>
      <c r="M79" s="5" t="n"/>
      <c r="N79" s="2" t="inlineStr">
        <is>
          <t>apollo.io/organizations</t>
        </is>
      </c>
      <c r="O79" s="2" t="inlineStr">
        <is>
          <t>2026-09-17T01:50:54+00:00</t>
        </is>
      </c>
      <c r="P79" s="2" t="inlineStr">
        <is>
          <t>5b874bbaf874f74b55cd0379</t>
        </is>
      </c>
    </row>
    <row r="80">
      <c r="A80" s="2" t="inlineStr">
        <is>
          <t>KELTER &amp; GILLIGO Consulting Engineers</t>
        </is>
      </c>
      <c r="B80" s="2" t="inlineStr">
        <is>
          <t>hvac engineering, electrical engineering, plumbing engineering, fire protection engineering</t>
        </is>
      </c>
      <c r="C80" s="2" t="inlineStr">
        <is>
          <t>West Windsor Township</t>
        </is>
      </c>
      <c r="D80" s="2" t="inlineStr">
        <is>
          <t>NJ</t>
        </is>
      </c>
      <c r="E80" s="2" t="inlineStr">
        <is>
          <t>http://www.kandg-pc.com</t>
        </is>
      </c>
      <c r="F80" s="2" t="n"/>
      <c r="G80" s="2" t="n"/>
      <c r="H80" s="2" t="n"/>
      <c r="I80" s="2" t="inlineStr">
        <is>
          <t>+1 609-799-8336</t>
        </is>
      </c>
      <c r="J80" s="2" t="n">
        <v>8</v>
      </c>
      <c r="K80" s="3">
        <f>IF(OR(H80&lt;&gt;"",I80&lt;&gt;""),"Yes","No")</f>
        <v/>
      </c>
      <c r="L80" s="4" t="inlineStr">
        <is>
          <t>New</t>
        </is>
      </c>
      <c r="M80" s="5" t="n"/>
      <c r="N80" s="2" t="inlineStr">
        <is>
          <t>apollo.io/organizations</t>
        </is>
      </c>
      <c r="O80" s="2" t="inlineStr">
        <is>
          <t>2026-09-17T01:50:54+00:00</t>
        </is>
      </c>
      <c r="P80" s="2" t="inlineStr">
        <is>
          <t>55f60f66f3e5bb1d02001ebc</t>
        </is>
      </c>
    </row>
    <row r="81">
      <c r="A81" s="2" t="inlineStr">
        <is>
          <t>BECOSAN®</t>
        </is>
      </c>
      <c r="B81" s="2" t="inlineStr">
        <is>
          <t>polished concrete, industrial floors, concrete floors, concrete grinding</t>
        </is>
      </c>
      <c r="C81" s="2" t="inlineStr">
        <is>
          <t>Fairfield</t>
        </is>
      </c>
      <c r="D81" s="2" t="inlineStr">
        <is>
          <t>NJ</t>
        </is>
      </c>
      <c r="E81" s="2" t="inlineStr">
        <is>
          <t>http://www.becosan.com</t>
        </is>
      </c>
      <c r="F81" s="2" t="n"/>
      <c r="G81" s="2" t="n"/>
      <c r="H81" s="2" t="n"/>
      <c r="I81" s="2" t="inlineStr">
        <is>
          <t>+44 20 3129 6424</t>
        </is>
      </c>
      <c r="J81" s="2" t="n">
        <v>16</v>
      </c>
      <c r="K81" s="3">
        <f>IF(OR(H81&lt;&gt;"",I81&lt;&gt;""),"Yes","No")</f>
        <v/>
      </c>
      <c r="L81" s="4" t="inlineStr">
        <is>
          <t>New</t>
        </is>
      </c>
      <c r="M81" s="5" t="n"/>
      <c r="N81" s="2" t="inlineStr">
        <is>
          <t>apollo.io/organizations</t>
        </is>
      </c>
      <c r="O81" s="2" t="inlineStr">
        <is>
          <t>2026-09-17T01:50:54+00:00</t>
        </is>
      </c>
      <c r="P81" s="2" t="inlineStr">
        <is>
          <t>5569e632736964256532b000</t>
        </is>
      </c>
    </row>
    <row r="82">
      <c r="A82" s="2" t="inlineStr">
        <is>
          <t>Komplet America</t>
        </is>
      </c>
      <c r="B82" s="2" t="inlineStr">
        <is>
          <t>crushing equipment, screening equipment, demolition equipment, landscaping</t>
        </is>
      </c>
      <c r="C82" s="2" t="inlineStr">
        <is>
          <t>Hillsborough Township</t>
        </is>
      </c>
      <c r="D82" s="2" t="inlineStr">
        <is>
          <t>NJ</t>
        </is>
      </c>
      <c r="E82" s="2" t="inlineStr">
        <is>
          <t>http://www.kompletamerica.com</t>
        </is>
      </c>
      <c r="F82" s="2" t="n"/>
      <c r="G82" s="2" t="n"/>
      <c r="H82" s="2" t="n"/>
      <c r="I82" s="2" t="inlineStr">
        <is>
          <t>+1 908-369-3340</t>
        </is>
      </c>
      <c r="J82" s="2" t="n">
        <v>16</v>
      </c>
      <c r="K82" s="3">
        <f>IF(OR(H82&lt;&gt;"",I82&lt;&gt;""),"Yes","No")</f>
        <v/>
      </c>
      <c r="L82" s="4" t="inlineStr">
        <is>
          <t>New</t>
        </is>
      </c>
      <c r="M82" s="5" t="n"/>
      <c r="N82" s="2" t="inlineStr">
        <is>
          <t>apollo.io/organizations</t>
        </is>
      </c>
      <c r="O82" s="2" t="inlineStr">
        <is>
          <t>2026-09-17T01:50:54+00:00</t>
        </is>
      </c>
      <c r="P82" s="2" t="inlineStr">
        <is>
          <t>5da6d80bb076420001834e26</t>
        </is>
      </c>
    </row>
    <row r="83">
      <c r="A83" s="2" t="inlineStr">
        <is>
          <t>Retail Maintenance Specialists</t>
        </is>
      </c>
      <c r="B83" s="2" t="inlineStr">
        <is>
          <t>carpentry, electrical, plumbing, concrete  paving, hvac, landscaping services</t>
        </is>
      </c>
      <c r="C83" s="2" t="inlineStr">
        <is>
          <t>Toms River</t>
        </is>
      </c>
      <c r="D83" s="2" t="inlineStr">
        <is>
          <t>NJ</t>
        </is>
      </c>
      <c r="E83" s="2" t="inlineStr">
        <is>
          <t>http://www.retailmsc.com</t>
        </is>
      </c>
      <c r="F83" s="2" t="n"/>
      <c r="G83" s="2" t="n"/>
      <c r="H83" s="2" t="n"/>
      <c r="I83" s="2" t="inlineStr">
        <is>
          <t>+1 609-978-6440</t>
        </is>
      </c>
      <c r="J83" s="2" t="n">
        <v>19</v>
      </c>
      <c r="K83" s="3">
        <f>IF(OR(H83&lt;&gt;"",I83&lt;&gt;""),"Yes","No")</f>
        <v/>
      </c>
      <c r="L83" s="4" t="inlineStr">
        <is>
          <t>New</t>
        </is>
      </c>
      <c r="M83" s="5" t="n"/>
      <c r="N83" s="2" t="inlineStr">
        <is>
          <t>apollo.io/organizations</t>
        </is>
      </c>
      <c r="O83" s="2" t="inlineStr">
        <is>
          <t>2026-09-17T01:50:54+00:00</t>
        </is>
      </c>
      <c r="P83" s="2" t="inlineStr">
        <is>
          <t>5da3f6463a4e680001cb40c8</t>
        </is>
      </c>
    </row>
    <row r="84">
      <c r="A84" s="2" t="inlineStr">
        <is>
          <t>The Alban Group</t>
        </is>
      </c>
      <c r="B84" s="2" t="inlineStr">
        <is>
          <t>commercial construction, roofing, concrete work, interior renovation, custom millwork</t>
        </is>
      </c>
      <c r="C84" s="2" t="inlineStr">
        <is>
          <t>Newark</t>
        </is>
      </c>
      <c r="D84" s="2" t="inlineStr">
        <is>
          <t>NJ</t>
        </is>
      </c>
      <c r="E84" s="2" t="inlineStr">
        <is>
          <t>http://www.albanco.com</t>
        </is>
      </c>
      <c r="F84" s="2" t="n"/>
      <c r="G84" s="2" t="n"/>
      <c r="H84" s="2" t="n"/>
      <c r="I84" s="2" t="inlineStr">
        <is>
          <t>+1 908-298-6888</t>
        </is>
      </c>
      <c r="J84" s="2" t="n">
        <v>8</v>
      </c>
      <c r="K84" s="3">
        <f>IF(OR(H84&lt;&gt;"",I84&lt;&gt;""),"Yes","No")</f>
        <v/>
      </c>
      <c r="L84" s="4" t="inlineStr">
        <is>
          <t>New</t>
        </is>
      </c>
      <c r="M84" s="5" t="n"/>
      <c r="N84" s="2" t="inlineStr">
        <is>
          <t>apollo.io/organizations</t>
        </is>
      </c>
      <c r="O84" s="2" t="inlineStr">
        <is>
          <t>2026-09-17T01:50:54+00:00</t>
        </is>
      </c>
      <c r="P84" s="2" t="inlineStr">
        <is>
          <t>5cb361faf65125bb20e89f6a</t>
        </is>
      </c>
    </row>
    <row r="85">
      <c r="A85" s="2" t="inlineStr">
        <is>
          <t>South Amboy Plumbing Supply</t>
        </is>
      </c>
      <c r="B85" s="2" t="inlineStr">
        <is>
          <t>wholesale plumbing supplies, hvac products, heating systems, bathroom fixtures</t>
        </is>
      </c>
      <c r="C85" s="2" t="inlineStr">
        <is>
          <t>South Amboy</t>
        </is>
      </c>
      <c r="D85" s="2" t="inlineStr">
        <is>
          <t>NJ</t>
        </is>
      </c>
      <c r="E85" s="2" t="inlineStr">
        <is>
          <t>http://www.sapsnj.com</t>
        </is>
      </c>
      <c r="F85" s="2" t="n"/>
      <c r="G85" s="2" t="n"/>
      <c r="H85" s="2" t="n"/>
      <c r="I85" s="2" t="inlineStr">
        <is>
          <t>+1 732-721-4242</t>
        </is>
      </c>
      <c r="J85" s="2" t="n">
        <v>19</v>
      </c>
      <c r="K85" s="3">
        <f>IF(OR(H85&lt;&gt;"",I85&lt;&gt;""),"Yes","No")</f>
        <v/>
      </c>
      <c r="L85" s="4" t="inlineStr">
        <is>
          <t>New</t>
        </is>
      </c>
      <c r="M85" s="5" t="n"/>
      <c r="N85" s="2" t="inlineStr">
        <is>
          <t>apollo.io/organizations</t>
        </is>
      </c>
      <c r="O85" s="2" t="inlineStr">
        <is>
          <t>2026-09-17T01:50:54+00:00</t>
        </is>
      </c>
      <c r="P85" s="2" t="inlineStr">
        <is>
          <t>54fca5617369647fc2433300</t>
        </is>
      </c>
    </row>
    <row r="86">
      <c r="A86" s="2" t="inlineStr">
        <is>
          <t>LifeSupplyUSA</t>
        </is>
      </c>
      <c r="B86" s="2" t="inlineStr">
        <is>
          <t>hvac filters, air filters, vacuum supplies, e-commerce</t>
        </is>
      </c>
      <c r="C86" s="2" t="inlineStr">
        <is>
          <t>City of Orange</t>
        </is>
      </c>
      <c r="D86" s="2" t="inlineStr">
        <is>
          <t>NJ</t>
        </is>
      </c>
      <c r="E86" s="2" t="inlineStr">
        <is>
          <t>http://www.lifesupplyusa.com</t>
        </is>
      </c>
      <c r="F86" s="2" t="n"/>
      <c r="G86" s="2" t="n"/>
      <c r="H86" s="2" t="n"/>
      <c r="I86" s="2" t="inlineStr">
        <is>
          <t>+1 732-248-8000</t>
        </is>
      </c>
      <c r="J86" s="2" t="n">
        <v>5</v>
      </c>
      <c r="K86" s="3">
        <f>IF(OR(H86&lt;&gt;"",I86&lt;&gt;""),"Yes","No")</f>
        <v/>
      </c>
      <c r="L86" s="4" t="inlineStr">
        <is>
          <t>New</t>
        </is>
      </c>
      <c r="M86" s="5" t="n"/>
      <c r="N86" s="2" t="inlineStr">
        <is>
          <t>apollo.io/organizations</t>
        </is>
      </c>
      <c r="O86" s="2" t="inlineStr">
        <is>
          <t>2026-09-17T01:50:54+00:00</t>
        </is>
      </c>
      <c r="P86" s="2" t="inlineStr">
        <is>
          <t>5f238ac86d324800c02fac43</t>
        </is>
      </c>
    </row>
    <row r="87">
      <c r="A87" s="2" t="inlineStr">
        <is>
          <t>Contractor Dynamics</t>
        </is>
      </c>
      <c r="B87" s="2" t="inlineStr">
        <is>
          <t>roofing industry marketing, digital marketing, lead generation, marketing coaching</t>
        </is>
      </c>
      <c r="C87" s="2" t="inlineStr">
        <is>
          <t>Asbury Park</t>
        </is>
      </c>
      <c r="D87" s="2" t="inlineStr">
        <is>
          <t>NJ</t>
        </is>
      </c>
      <c r="E87" s="2" t="inlineStr">
        <is>
          <t>http://www.contractordynamics.com</t>
        </is>
      </c>
      <c r="F87" s="2" t="n"/>
      <c r="G87" s="2" t="n"/>
      <c r="H87" s="2" t="n"/>
      <c r="I87" s="2" t="inlineStr">
        <is>
          <t>+1 732-733-2390</t>
        </is>
      </c>
      <c r="J87" s="2" t="n">
        <v>15</v>
      </c>
      <c r="K87" s="3">
        <f>IF(OR(H87&lt;&gt;"",I87&lt;&gt;""),"Yes","No")</f>
        <v/>
      </c>
      <c r="L87" s="4" t="inlineStr">
        <is>
          <t>New</t>
        </is>
      </c>
      <c r="M87" s="5" t="n"/>
      <c r="N87" s="2" t="inlineStr">
        <is>
          <t>apollo.io/organizations</t>
        </is>
      </c>
      <c r="O87" s="2" t="inlineStr">
        <is>
          <t>2026-09-17T01:50:54+00:00</t>
        </is>
      </c>
      <c r="P87" s="2" t="inlineStr">
        <is>
          <t>5569922473696425712a5600</t>
        </is>
      </c>
    </row>
    <row r="88">
      <c r="A88" s="2" t="inlineStr">
        <is>
          <t>Builders League of South Jersey</t>
        </is>
      </c>
      <c r="B88" s="2" t="inlineStr">
        <is>
          <t>home builders association, remodeling, trade association, industry advocacy</t>
        </is>
      </c>
      <c r="C88" s="2" t="inlineStr">
        <is>
          <t>Cherry Hill</t>
        </is>
      </c>
      <c r="D88" s="2" t="inlineStr">
        <is>
          <t>NJ</t>
        </is>
      </c>
      <c r="E88" s="2" t="inlineStr">
        <is>
          <t>http://www.blsj.com</t>
        </is>
      </c>
      <c r="F88" s="2" t="n"/>
      <c r="G88" s="2" t="n"/>
      <c r="H88" s="2" t="n"/>
      <c r="I88" s="2" t="inlineStr">
        <is>
          <t>+1 856-616-8460</t>
        </is>
      </c>
      <c r="J88" s="2" t="n">
        <v>29</v>
      </c>
      <c r="K88" s="3">
        <f>IF(OR(H88&lt;&gt;"",I88&lt;&gt;""),"Yes","No")</f>
        <v/>
      </c>
      <c r="L88" s="4" t="inlineStr">
        <is>
          <t>New</t>
        </is>
      </c>
      <c r="M88" s="5" t="n"/>
      <c r="N88" s="2" t="inlineStr">
        <is>
          <t>apollo.io/organizations</t>
        </is>
      </c>
      <c r="O88" s="2" t="inlineStr">
        <is>
          <t>2026-09-17T01:50:54+00:00</t>
        </is>
      </c>
      <c r="P88" s="2" t="inlineStr">
        <is>
          <t>54a1361669702d3cbba52601</t>
        </is>
      </c>
    </row>
  </sheetData>
  <autoFilter ref="A1:P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7" customWidth="1" min="4" max="4"/>
    <col width="26" customWidth="1" min="5" max="5"/>
    <col width="16" customWidth="1" min="6" max="6"/>
    <col width="46" customWidth="1" min="7" max="7"/>
  </cols>
  <sheetData>
    <row r="1">
      <c r="A1" s="1" t="inlineStr">
        <is>
          <t>Company</t>
        </is>
      </c>
      <c r="B1" s="1" t="inlineStr">
        <is>
          <t>Trade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Rejected for</t>
        </is>
      </c>
    </row>
    <row r="2">
      <c r="A2" s="6" t="inlineStr">
        <is>
          <t>Future Remodeling</t>
        </is>
      </c>
      <c r="B2" s="6" t="inlineStr">
        <is>
          <t>roofing contractors, siding installation, gutters, window installation</t>
        </is>
      </c>
      <c r="C2" s="6" t="inlineStr">
        <is>
          <t>Bergenfield</t>
        </is>
      </c>
      <c r="D2" s="6" t="inlineStr">
        <is>
          <t>NJ</t>
        </is>
      </c>
      <c r="E2" s="6" t="n"/>
      <c r="F2" s="6" t="n"/>
      <c r="G2" s="6" t="inlineStr">
        <is>
          <t>no email or phone</t>
        </is>
      </c>
    </row>
    <row r="3">
      <c r="A3" s="6" t="inlineStr">
        <is>
          <t>A.M. Botte Mechanical</t>
        </is>
      </c>
      <c r="B3" s="6" t="inlineStr">
        <is>
          <t>plumbing services, hvac services, electrical services, heating installation</t>
        </is>
      </c>
      <c r="C3" s="6" t="inlineStr">
        <is>
          <t>Sewell</t>
        </is>
      </c>
      <c r="D3" s="6" t="inlineStr">
        <is>
          <t>NJ</t>
        </is>
      </c>
      <c r="E3" s="6" t="n"/>
      <c r="F3" s="6" t="n"/>
      <c r="G3" s="6" t="inlineStr">
        <is>
          <t>no email or phone</t>
        </is>
      </c>
    </row>
    <row r="4">
      <c r="A4" s="6" t="inlineStr">
        <is>
          <t>TADDCONCEPTS</t>
        </is>
      </c>
      <c r="B4" s="6" t="inlineStr">
        <is>
          <t>kitchen remodeling, bathroom renovation, custom cabinetry, remodeling</t>
        </is>
      </c>
      <c r="C4" s="6" t="n"/>
      <c r="D4" s="6" t="inlineStr">
        <is>
          <t>NJ</t>
        </is>
      </c>
      <c r="E4" s="6" t="n"/>
      <c r="F4" s="6" t="n"/>
      <c r="G4" s="6" t="inlineStr">
        <is>
          <t>no email or phone</t>
        </is>
      </c>
    </row>
    <row r="5">
      <c r="A5" s="6" t="inlineStr">
        <is>
          <t>Gentech Engineering Services</t>
        </is>
      </c>
      <c r="B5" s="6" t="inlineStr">
        <is>
          <t>mep engineering, hvac, electrical engineering, plumbing services, refrigeration</t>
        </is>
      </c>
      <c r="C5" s="6" t="inlineStr">
        <is>
          <t>Keyport</t>
        </is>
      </c>
      <c r="D5" s="6" t="inlineStr">
        <is>
          <t>NJ</t>
        </is>
      </c>
      <c r="E5" s="6" t="n"/>
      <c r="F5" s="6" t="n"/>
      <c r="G5" s="6" t="inlineStr">
        <is>
          <t>no email or phone</t>
        </is>
      </c>
    </row>
    <row r="6">
      <c r="A6" s="6" t="inlineStr">
        <is>
          <t>Infraspection Institute</t>
        </is>
      </c>
      <c r="B6" s="6" t="inlineStr">
        <is>
          <t>infrared training, thermography certification, infrared inspection</t>
        </is>
      </c>
      <c r="C6" s="6" t="inlineStr">
        <is>
          <t>Burlington</t>
        </is>
      </c>
      <c r="D6" s="6" t="inlineStr">
        <is>
          <t>NJ</t>
        </is>
      </c>
      <c r="E6" s="6" t="n"/>
      <c r="F6" s="6" t="inlineStr">
        <is>
          <t>+1 609-239-4788</t>
        </is>
      </c>
      <c r="G6" s="6" t="inlineStr">
        <is>
          <t>trade infrared training, thermography certification, infrared inspection not in target list</t>
        </is>
      </c>
    </row>
    <row r="7">
      <c r="A7" s="6" t="inlineStr">
        <is>
          <t>IEEE Transactions on Antennas and Propagation</t>
        </is>
      </c>
      <c r="B7" s="6" t="inlineStr">
        <is>
          <t>research services, peer-reviewed journal, electromagnetics, antenna design</t>
        </is>
      </c>
      <c r="C7" s="6" t="inlineStr">
        <is>
          <t>Piscataway Township</t>
        </is>
      </c>
      <c r="D7" s="6" t="inlineStr">
        <is>
          <t>NJ</t>
        </is>
      </c>
      <c r="E7" s="6" t="n"/>
      <c r="F7" s="6" t="inlineStr">
        <is>
          <t>+1 855-340-4333</t>
        </is>
      </c>
      <c r="G7" s="6" t="inlineStr">
        <is>
          <t>trade research services, peer-reviewed journal, electromagnetics, antenna design not in target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8" customWidth="1" min="3" max="3"/>
  </cols>
  <sheetData>
    <row r="1">
      <c r="A1" s="7" t="inlineStr">
        <is>
          <t>Lead list summary</t>
        </is>
      </c>
    </row>
    <row r="3">
      <c r="A3" s="8" t="inlineStr">
        <is>
          <t>Qualified leads</t>
        </is>
      </c>
      <c r="B3" s="6">
        <f>COUNTA(Leads!A2:A88)</f>
        <v/>
      </c>
      <c r="C3" s="9" t="inlineStr">
        <is>
          <t>Rows on the Leads tab.</t>
        </is>
      </c>
    </row>
    <row r="4">
      <c r="A4" s="8" t="inlineStr">
        <is>
          <t>With email</t>
        </is>
      </c>
      <c r="B4" s="6">
        <f>COUNTIF(Leads!H2:H88,"?*")</f>
        <v/>
      </c>
      <c r="C4" s="9" t="inlineStr">
        <is>
          <t>Non-blank Email cells.</t>
        </is>
      </c>
    </row>
    <row r="5">
      <c r="A5" s="8" t="inlineStr">
        <is>
          <t>With phone</t>
        </is>
      </c>
      <c r="B5" s="6">
        <f>COUNTIF(Leads!I2:I88,"?*")</f>
        <v/>
      </c>
      <c r="C5" s="9" t="inlineStr">
        <is>
          <t>Non-blank Phone cells.</t>
        </is>
      </c>
    </row>
    <row r="6">
      <c r="A6" s="8" t="inlineStr">
        <is>
          <t>Contactable</t>
        </is>
      </c>
      <c r="B6" s="6">
        <f>COUNTIF(Leads!K2:K88,"Yes")</f>
        <v/>
      </c>
      <c r="C6" s="9" t="inlineStr">
        <is>
          <t>Either an email or a phone number.</t>
        </is>
      </c>
    </row>
    <row r="7">
      <c r="A7" s="8" t="inlineStr">
        <is>
          <t>Rejected</t>
        </is>
      </c>
      <c r="B7" s="6" t="n">
        <v>6</v>
      </c>
      <c r="C7" s="9" t="inlineStr">
        <is>
          <t>See the Rejected tab for the reason on each.</t>
        </is>
      </c>
    </row>
    <row r="10">
      <c r="A10" s="10" t="inlineStr">
        <is>
          <t>Pipeline</t>
        </is>
      </c>
    </row>
    <row r="11">
      <c r="A11" s="6" t="inlineStr">
        <is>
          <t>New</t>
        </is>
      </c>
      <c r="B11" s="6">
        <f>COUNTIF(Leads!L2:L88,"New")</f>
        <v/>
      </c>
    </row>
    <row r="12">
      <c r="A12" s="6" t="inlineStr">
        <is>
          <t>Contacted</t>
        </is>
      </c>
      <c r="B12" s="6">
        <f>COUNTIF(Leads!L2:L88,"Contacted")</f>
        <v/>
      </c>
    </row>
    <row r="13">
      <c r="A13" s="6" t="inlineStr">
        <is>
          <t>Replied</t>
        </is>
      </c>
      <c r="B13" s="6">
        <f>COUNTIF(Leads!L2:L88,"Replied")</f>
        <v/>
      </c>
    </row>
    <row r="14">
      <c r="A14" s="6" t="inlineStr">
        <is>
          <t>Meeting</t>
        </is>
      </c>
      <c r="B14" s="6">
        <f>COUNTIF(Leads!L2:L88,"Meeting")</f>
        <v/>
      </c>
    </row>
    <row r="15">
      <c r="A15" s="6" t="inlineStr">
        <is>
          <t>Won</t>
        </is>
      </c>
      <c r="B15" s="6">
        <f>COUNTIF(Leads!L2:L88,"Won")</f>
        <v/>
      </c>
    </row>
    <row r="16">
      <c r="A16" s="6" t="inlineStr">
        <is>
          <t>Dead</t>
        </is>
      </c>
      <c r="B16" s="6">
        <f>COUNTIF(Leads!L2:L88,"Dead")</f>
        <v/>
      </c>
    </row>
    <row r="19">
      <c r="A19" s="10" t="inlineStr">
        <is>
          <t>How to use this</t>
        </is>
      </c>
    </row>
    <row r="20">
      <c r="A20" s="9" t="inlineStr">
        <is>
          <t>Yellow cells are yours to edit — column L (Status) and column M (Notes) on the Leads tab.</t>
        </is>
      </c>
    </row>
    <row r="21">
      <c r="A21" s="9" t="inlineStr">
        <is>
          <t>Status accepts: New, Contacted, Replied, Meeting, Won, Dead. The Pipeline counts above follow what you type.</t>
        </is>
      </c>
    </row>
    <row r="22">
      <c r="A22" s="9" t="inlineStr">
        <is>
          <t>Contactable (column K) is a formula. Fill in a missing phone or email and it updates itself.</t>
        </is>
      </c>
    </row>
    <row r="23">
      <c r="A23" s="9" t="inlineStr">
        <is>
          <t>Everything else came from the source and is overwritten on the next export.</t>
        </is>
      </c>
    </row>
    <row r="24">
      <c r="A24" s="9" t="inlineStr">
        <is>
          <t>Filters applied — states: NJ; 8 trades; contactable only</t>
        </is>
      </c>
    </row>
  </sheetData>
  <mergeCells count="5">
    <mergeCell ref="A23:C23"/>
    <mergeCell ref="A22:C22"/>
    <mergeCell ref="A21:C21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2026-09-17T01:50:54Z</dcterms:created>
  <dcterms:modified xsi:type="dcterms:W3CDTF">2026-09-17T01:50:54Z</dcterms:modified>
</cp:coreProperties>
</file>