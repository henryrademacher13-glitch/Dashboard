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jected" sheetId="2" state="visible" r:id="rId2"/>
    <sheet name="Summary" sheetId="3" state="visible" r:id="rId3"/>
  </sheets>
  <definedNames>
    <definedName name="_xlnm._FilterDatabase" localSheetId="0" hidden="1">'Leads'!$A$1:$Q$90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" customWidth="1" min="4" max="4"/>
    <col width="30" customWidth="1" min="5" max="5"/>
    <col width="20" customWidth="1" min="6" max="6"/>
    <col width="20" customWidth="1" min="7" max="7"/>
    <col width="28" customWidth="1" min="8" max="8"/>
    <col width="16" customWidth="1" min="9" max="9"/>
    <col width="11" customWidth="1" min="10" max="10"/>
    <col width="12" customWidth="1" min="11" max="11"/>
    <col width="14" customWidth="1" min="12" max="12"/>
    <col width="30" customWidth="1" min="13" max="13"/>
    <col width="34" customWidth="1" min="14" max="14"/>
    <col width="12" customWidth="1" min="15" max="15"/>
    <col width="20" customWidth="1" min="16" max="16"/>
    <col width="14" customWidth="1" min="17" max="17"/>
  </cols>
  <sheetData>
    <row r="1">
      <c r="A1" s="1" t="inlineStr">
        <is>
          <t>Company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Contact</t>
        </is>
      </c>
      <c r="G1" s="1" t="inlineStr">
        <is>
          <t>Title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Employees</t>
        </is>
      </c>
      <c r="K1" s="1" t="inlineStr">
        <is>
          <t>Contactable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Source Notes</t>
        </is>
      </c>
      <c r="O1" s="1" t="inlineStr">
        <is>
          <t>Source</t>
        </is>
      </c>
      <c r="P1" s="1" t="inlineStr">
        <is>
          <t>Retrieved</t>
        </is>
      </c>
      <c r="Q1" s="1" t="inlineStr">
        <is>
          <t>Source ID</t>
        </is>
      </c>
    </row>
    <row r="2">
      <c r="A2" s="2" t="inlineStr">
        <is>
          <t>Lehigh HVAC LLC</t>
        </is>
      </c>
      <c r="B2" s="2" t="inlineStr">
        <is>
          <t>hvac, furnace repair, heating repair, air conditioning, residential hvac, commercial hvac</t>
        </is>
      </c>
      <c r="C2" s="2" t="inlineStr">
        <is>
          <t>Pen Argyl</t>
        </is>
      </c>
      <c r="D2" s="2" t="inlineStr">
        <is>
          <t>PA</t>
        </is>
      </c>
      <c r="E2" s="2" t="inlineStr">
        <is>
          <t>http://www.lehighhvac.com</t>
        </is>
      </c>
      <c r="F2" s="2" t="n"/>
      <c r="G2" s="2" t="n"/>
      <c r="H2" s="2" t="n"/>
      <c r="I2" s="2" t="inlineStr">
        <is>
          <t>+1 484-961-7044</t>
        </is>
      </c>
      <c r="J2" s="2" t="n">
        <v>1</v>
      </c>
      <c r="K2" s="3">
        <f>IF(OR(H2&lt;&gt;"",I2&lt;&gt;""),"Yes","No")</f>
        <v/>
      </c>
      <c r="L2" s="4" t="inlineStr">
        <is>
          <t>New</t>
        </is>
      </c>
      <c r="M2" s="5" t="n"/>
      <c r="N2" s="2" t="n"/>
      <c r="O2" s="2" t="inlineStr">
        <is>
          <t>apollo.io/organizations</t>
        </is>
      </c>
      <c r="P2" s="2" t="inlineStr">
        <is>
          <t>2026-09-19T17:30:01+00:00</t>
        </is>
      </c>
      <c r="Q2" s="2" t="inlineStr">
        <is>
          <t>614da4054996d900012c34a2</t>
        </is>
      </c>
    </row>
    <row r="3">
      <c r="A3" s="2" t="inlineStr">
        <is>
          <t>Handyside Plumbing, HVAC &amp; Electrical</t>
        </is>
      </c>
      <c r="B3" s="2" t="inlineStr">
        <is>
          <t>service plumbing, service hvac, service electrical, hvac installation, duct cleaning</t>
        </is>
      </c>
      <c r="C3" s="2" t="inlineStr">
        <is>
          <t>Goldsboro</t>
        </is>
      </c>
      <c r="D3" s="2" t="inlineStr">
        <is>
          <t>PA</t>
        </is>
      </c>
      <c r="E3" s="2" t="inlineStr">
        <is>
          <t>http://www.handyside.com</t>
        </is>
      </c>
      <c r="F3" s="2" t="n"/>
      <c r="G3" s="2" t="n"/>
      <c r="H3" s="2" t="n"/>
      <c r="I3" s="2" t="inlineStr">
        <is>
          <t>+1 717-938-2521</t>
        </is>
      </c>
      <c r="J3" s="2" t="n">
        <v>25</v>
      </c>
      <c r="K3" s="3">
        <f>IF(OR(H3&lt;&gt;"",I3&lt;&gt;""),"Yes","No")</f>
        <v/>
      </c>
      <c r="L3" s="4" t="inlineStr">
        <is>
          <t>New</t>
        </is>
      </c>
      <c r="M3" s="5" t="n"/>
      <c r="N3" s="2" t="n"/>
      <c r="O3" s="2" t="inlineStr">
        <is>
          <t>apollo.io/organizations</t>
        </is>
      </c>
      <c r="P3" s="2" t="inlineStr">
        <is>
          <t>2026-09-19T17:30:01+00:00</t>
        </is>
      </c>
      <c r="Q3" s="2" t="inlineStr">
        <is>
          <t>54a1a2bf74686942d363ac03</t>
        </is>
      </c>
    </row>
    <row r="4">
      <c r="A4" s="2" t="inlineStr">
        <is>
          <t>The Longacre Company</t>
        </is>
      </c>
      <c r="B4" s="2" t="inlineStr">
        <is>
          <t>electrical services, plumbing services, hvac, remodeling, kitchen remodeling</t>
        </is>
      </c>
      <c r="C4" s="2" t="inlineStr">
        <is>
          <t>Bally</t>
        </is>
      </c>
      <c r="D4" s="2" t="inlineStr">
        <is>
          <t>PA</t>
        </is>
      </c>
      <c r="E4" s="2" t="inlineStr">
        <is>
          <t>http://www.longacreco.com</t>
        </is>
      </c>
      <c r="F4" s="2" t="n"/>
      <c r="G4" s="2" t="n"/>
      <c r="H4" s="2" t="n"/>
      <c r="I4" s="2" t="inlineStr">
        <is>
          <t>+1 610-845-2261</t>
        </is>
      </c>
      <c r="J4" s="2" t="n">
        <v>17</v>
      </c>
      <c r="K4" s="3">
        <f>IF(OR(H4&lt;&gt;"",I4&lt;&gt;""),"Yes","No")</f>
        <v/>
      </c>
      <c r="L4" s="4" t="inlineStr">
        <is>
          <t>New</t>
        </is>
      </c>
      <c r="M4" s="5" t="n"/>
      <c r="N4" s="2" t="n"/>
      <c r="O4" s="2" t="inlineStr">
        <is>
          <t>apollo.io/organizations</t>
        </is>
      </c>
      <c r="P4" s="2" t="inlineStr">
        <is>
          <t>2026-09-19T17:30:01+00:00</t>
        </is>
      </c>
      <c r="Q4" s="2" t="inlineStr">
        <is>
          <t>54a11bd969702d8ed4256200</t>
        </is>
      </c>
    </row>
    <row r="5">
      <c r="A5" s="2" t="inlineStr">
        <is>
          <t>Lancaster Plumbing Heating Cooling &amp; Electrical</t>
        </is>
      </c>
      <c r="B5" s="2" t="inlineStr">
        <is>
          <t>plumbing, heating, air conditioning, electrical, drain cleaning</t>
        </is>
      </c>
      <c r="C5" s="2" t="inlineStr">
        <is>
          <t>East Petersburg</t>
        </is>
      </c>
      <c r="D5" s="2" t="inlineStr">
        <is>
          <t>PA</t>
        </is>
      </c>
      <c r="E5" s="2" t="inlineStr">
        <is>
          <t>http://www.lph.biz</t>
        </is>
      </c>
      <c r="F5" s="2" t="n"/>
      <c r="G5" s="2" t="n"/>
      <c r="H5" s="2" t="n"/>
      <c r="I5" s="2" t="inlineStr">
        <is>
          <t>+1 717-207-9952</t>
        </is>
      </c>
      <c r="J5" s="2" t="n">
        <v>21</v>
      </c>
      <c r="K5" s="3">
        <f>IF(OR(H5&lt;&gt;"",I5&lt;&gt;""),"Yes","No")</f>
        <v/>
      </c>
      <c r="L5" s="4" t="inlineStr">
        <is>
          <t>New</t>
        </is>
      </c>
      <c r="M5" s="5" t="n"/>
      <c r="N5" s="2" t="n"/>
      <c r="O5" s="2" t="inlineStr">
        <is>
          <t>apollo.io/organizations</t>
        </is>
      </c>
      <c r="P5" s="2" t="inlineStr">
        <is>
          <t>2026-09-19T17:30:01+00:00</t>
        </is>
      </c>
      <c r="Q5" s="2" t="inlineStr">
        <is>
          <t>57c4f7eda6da986aaa172238</t>
        </is>
      </c>
    </row>
    <row r="6">
      <c r="A6" s="2" t="inlineStr">
        <is>
          <t>Resnick Roofing &amp; Contracting</t>
        </is>
      </c>
      <c r="B6" s="2" t="inlineStr">
        <is>
          <t>roofing, siding, gutters, roof repair, roof replacement</t>
        </is>
      </c>
      <c r="C6" s="2" t="inlineStr">
        <is>
          <t>Gibsonia</t>
        </is>
      </c>
      <c r="D6" s="2" t="inlineStr">
        <is>
          <t>PA</t>
        </is>
      </c>
      <c r="E6" s="2" t="inlineStr">
        <is>
          <t>http://www.resnickroof.com</t>
        </is>
      </c>
      <c r="F6" s="2" t="n"/>
      <c r="G6" s="2" t="n"/>
      <c r="H6" s="2" t="n"/>
      <c r="I6" s="2" t="inlineStr">
        <is>
          <t>+1 412-307-9809</t>
        </is>
      </c>
      <c r="J6" s="2" t="n">
        <v>30</v>
      </c>
      <c r="K6" s="3">
        <f>IF(OR(H6&lt;&gt;"",I6&lt;&gt;""),"Yes","No")</f>
        <v/>
      </c>
      <c r="L6" s="4" t="inlineStr">
        <is>
          <t>New</t>
        </is>
      </c>
      <c r="M6" s="5" t="n"/>
      <c r="N6" s="2" t="n"/>
      <c r="O6" s="2" t="inlineStr">
        <is>
          <t>apollo.io/organizations</t>
        </is>
      </c>
      <c r="P6" s="2" t="inlineStr">
        <is>
          <t>2026-09-19T17:30:01+00:00</t>
        </is>
      </c>
      <c r="Q6" s="2" t="inlineStr">
        <is>
          <t>5e5610acf74c260001f7d303</t>
        </is>
      </c>
    </row>
    <row r="7">
      <c r="A7" s="2" t="inlineStr">
        <is>
          <t>JB Plumbing HVAC Construction</t>
        </is>
      </c>
      <c r="B7" s="2" t="inlineStr">
        <is>
          <t>hvac services, plumbing services, home remodeling &amp; renovations, decks &amp; additions</t>
        </is>
      </c>
      <c r="C7" s="2" t="inlineStr">
        <is>
          <t>Reading</t>
        </is>
      </c>
      <c r="D7" s="2" t="inlineStr">
        <is>
          <t>PA</t>
        </is>
      </c>
      <c r="E7" s="2" t="inlineStr">
        <is>
          <t>http://www.jbplumbinghvac.com</t>
        </is>
      </c>
      <c r="F7" s="2" t="n"/>
      <c r="G7" s="2" t="n"/>
      <c r="H7" s="2" t="n"/>
      <c r="I7" s="2" t="inlineStr">
        <is>
          <t>+1 610-621-3452</t>
        </is>
      </c>
      <c r="J7" s="2" t="n">
        <v>1</v>
      </c>
      <c r="K7" s="3">
        <f>IF(OR(H7&lt;&gt;"",I7&lt;&gt;""),"Yes","No")</f>
        <v/>
      </c>
      <c r="L7" s="4" t="inlineStr">
        <is>
          <t>New</t>
        </is>
      </c>
      <c r="M7" s="5" t="n"/>
      <c r="N7" s="2" t="n"/>
      <c r="O7" s="2" t="inlineStr">
        <is>
          <t>apollo.io/organizations</t>
        </is>
      </c>
      <c r="P7" s="2" t="inlineStr">
        <is>
          <t>2026-09-19T17:30:01+00:00</t>
        </is>
      </c>
      <c r="Q7" s="2" t="inlineStr">
        <is>
          <t>5fd85c81c0cf980001cf01c9</t>
        </is>
      </c>
    </row>
    <row r="8">
      <c r="A8" s="2" t="inlineStr">
        <is>
          <t>Madison Concrete Construction</t>
        </is>
      </c>
      <c r="B8" s="2" t="inlineStr">
        <is>
          <t>commercial concrete construction, concrete pumping, slabs on grade, structural concrete</t>
        </is>
      </c>
      <c r="C8" s="2" t="inlineStr">
        <is>
          <t>Malvern</t>
        </is>
      </c>
      <c r="D8" s="2" t="inlineStr">
        <is>
          <t>PA</t>
        </is>
      </c>
      <c r="E8" s="2" t="inlineStr">
        <is>
          <t>http://www.madisonconcrete.com</t>
        </is>
      </c>
      <c r="F8" s="2" t="n"/>
      <c r="G8" s="2" t="n"/>
      <c r="H8" s="2" t="n"/>
      <c r="I8" s="2" t="inlineStr">
        <is>
          <t>+1 610-695-8800</t>
        </is>
      </c>
      <c r="J8" s="2" t="n">
        <v>42</v>
      </c>
      <c r="K8" s="3">
        <f>IF(OR(H8&lt;&gt;"",I8&lt;&gt;""),"Yes","No")</f>
        <v/>
      </c>
      <c r="L8" s="4" t="inlineStr">
        <is>
          <t>New</t>
        </is>
      </c>
      <c r="M8" s="5" t="n"/>
      <c r="N8" s="2" t="n"/>
      <c r="O8" s="2" t="inlineStr">
        <is>
          <t>apollo.io/organizations</t>
        </is>
      </c>
      <c r="P8" s="2" t="inlineStr">
        <is>
          <t>2026-09-19T17:30:01+00:00</t>
        </is>
      </c>
      <c r="Q8" s="2" t="inlineStr">
        <is>
          <t>62eb4841004d24000161dae3</t>
        </is>
      </c>
    </row>
    <row r="9">
      <c r="A9" s="2" t="inlineStr">
        <is>
          <t>Croom Concrete</t>
        </is>
      </c>
      <c r="B9" s="2" t="inlineStr">
        <is>
          <t>precast concrete, cattle slats, box culverts, septic tanks</t>
        </is>
      </c>
      <c r="C9" s="2" t="n"/>
      <c r="D9" s="2" t="inlineStr">
        <is>
          <t>PA</t>
        </is>
      </c>
      <c r="E9" s="2" t="inlineStr">
        <is>
          <t>http://www.croomconcrete.com</t>
        </is>
      </c>
      <c r="F9" s="2" t="n"/>
      <c r="G9" s="2" t="n"/>
      <c r="H9" s="2" t="n"/>
      <c r="I9" s="2" t="inlineStr">
        <is>
          <t>+44 739 853 4484</t>
        </is>
      </c>
      <c r="J9" s="2" t="n">
        <v>46</v>
      </c>
      <c r="K9" s="3">
        <f>IF(OR(H9&lt;&gt;"",I9&lt;&gt;""),"Yes","No")</f>
        <v/>
      </c>
      <c r="L9" s="4" t="inlineStr">
        <is>
          <t>New</t>
        </is>
      </c>
      <c r="M9" s="5" t="n"/>
      <c r="N9" s="2" t="inlineStr">
        <is>
          <t>Apollo reports state=Pennsylvania but raw_address and +44 phone indicate Limerick, Ireland. Geography filter will pass this incorrectly.</t>
        </is>
      </c>
      <c r="O9" s="2" t="inlineStr">
        <is>
          <t>apollo.io/organizations</t>
        </is>
      </c>
      <c r="P9" s="2" t="inlineStr">
        <is>
          <t>2026-09-19T17:30:01+00:00</t>
        </is>
      </c>
      <c r="Q9" s="2" t="inlineStr">
        <is>
          <t>556d54fb7369641266ffeb00</t>
        </is>
      </c>
    </row>
    <row r="10">
      <c r="A10" s="2" t="inlineStr">
        <is>
          <t>BLM Construction &amp; Remodeling, LLC</t>
        </is>
      </c>
      <c r="B10" s="2" t="inlineStr">
        <is>
          <t>remodeling, roofing, painting, concrete, kitchen, bathroom</t>
        </is>
      </c>
      <c r="C10" s="2" t="inlineStr">
        <is>
          <t>York</t>
        </is>
      </c>
      <c r="D10" s="2" t="inlineStr">
        <is>
          <t>PA</t>
        </is>
      </c>
      <c r="E10" s="2" t="inlineStr">
        <is>
          <t>http://www.blmconstruction.net</t>
        </is>
      </c>
      <c r="F10" s="2" t="n"/>
      <c r="G10" s="2" t="n"/>
      <c r="H10" s="2" t="n"/>
      <c r="I10" s="2" t="inlineStr">
        <is>
          <t>+1 717-650-1472</t>
        </is>
      </c>
      <c r="J10" s="2" t="n">
        <v>21</v>
      </c>
      <c r="K10" s="3">
        <f>IF(OR(H10&lt;&gt;"",I10&lt;&gt;""),"Yes","No")</f>
        <v/>
      </c>
      <c r="L10" s="4" t="inlineStr">
        <is>
          <t>New</t>
        </is>
      </c>
      <c r="M10" s="5" t="n"/>
      <c r="N10" s="2" t="n"/>
      <c r="O10" s="2" t="inlineStr">
        <is>
          <t>apollo.io/organizations</t>
        </is>
      </c>
      <c r="P10" s="2" t="inlineStr">
        <is>
          <t>2026-09-19T17:30:01+00:00</t>
        </is>
      </c>
      <c r="Q10" s="2" t="inlineStr">
        <is>
          <t>5f49df2bf15fd000014be47f</t>
        </is>
      </c>
    </row>
    <row r="11">
      <c r="A11" s="2" t="inlineStr">
        <is>
          <t>Voomi Supply</t>
        </is>
      </c>
      <c r="B11" s="2" t="inlineStr">
        <is>
          <t>hvac parts, hvac supplies, wholesale trade, e-commerce</t>
        </is>
      </c>
      <c r="C11" s="2" t="inlineStr">
        <is>
          <t>Philadelphia</t>
        </is>
      </c>
      <c r="D11" s="2" t="inlineStr">
        <is>
          <t>PA</t>
        </is>
      </c>
      <c r="E11" s="2" t="inlineStr">
        <is>
          <t>http://www.voomisupply.com</t>
        </is>
      </c>
      <c r="F11" s="2" t="n"/>
      <c r="G11" s="2" t="n"/>
      <c r="H11" s="2" t="n"/>
      <c r="I11" s="2" t="inlineStr">
        <is>
          <t>+1 215-326-9845</t>
        </is>
      </c>
      <c r="J11" s="2" t="n">
        <v>41</v>
      </c>
      <c r="K11" s="3">
        <f>IF(OR(H11&lt;&gt;"",I11&lt;&gt;""),"Yes","No")</f>
        <v/>
      </c>
      <c r="L11" s="4" t="inlineStr">
        <is>
          <t>New</t>
        </is>
      </c>
      <c r="M11" s="5" t="n"/>
      <c r="N11" s="2" t="inlineStr">
        <is>
          <t>Distributor, not a contractor.</t>
        </is>
      </c>
      <c r="O11" s="2" t="inlineStr">
        <is>
          <t>apollo.io/organizations</t>
        </is>
      </c>
      <c r="P11" s="2" t="inlineStr">
        <is>
          <t>2026-09-19T17:30:01+00:00</t>
        </is>
      </c>
      <c r="Q11" s="2" t="inlineStr">
        <is>
          <t>61b6f541117cfd00a48bc4c2</t>
        </is>
      </c>
    </row>
    <row r="12">
      <c r="A12" s="2" t="inlineStr">
        <is>
          <t>Moser Roofing Solutions, LLC</t>
        </is>
      </c>
      <c r="B12" s="2" t="inlineStr">
        <is>
          <t>commercial roofing, roof restoration, roof repair, roof replacement, metal roofing</t>
        </is>
      </c>
      <c r="C12" s="2" t="inlineStr">
        <is>
          <t>Lancaster</t>
        </is>
      </c>
      <c r="D12" s="2" t="inlineStr">
        <is>
          <t>PA</t>
        </is>
      </c>
      <c r="E12" s="2" t="inlineStr">
        <is>
          <t>http://www.moserroofingsolutions.com</t>
        </is>
      </c>
      <c r="F12" s="2" t="n"/>
      <c r="G12" s="2" t="n"/>
      <c r="H12" s="2" t="n"/>
      <c r="I12" s="2" t="inlineStr">
        <is>
          <t>+1 717-690-2581</t>
        </is>
      </c>
      <c r="J12" s="2" t="n">
        <v>41</v>
      </c>
      <c r="K12" s="3">
        <f>IF(OR(H12&lt;&gt;"",I12&lt;&gt;""),"Yes","No")</f>
        <v/>
      </c>
      <c r="L12" s="4" t="inlineStr">
        <is>
          <t>New</t>
        </is>
      </c>
      <c r="M12" s="5" t="n"/>
      <c r="N12" s="2" t="n"/>
      <c r="O12" s="2" t="inlineStr">
        <is>
          <t>apollo.io/organizations</t>
        </is>
      </c>
      <c r="P12" s="2" t="inlineStr">
        <is>
          <t>2026-09-19T17:30:01+00:00</t>
        </is>
      </c>
      <c r="Q12" s="2" t="inlineStr">
        <is>
          <t>5f4827ea7a32a000011996c7</t>
        </is>
      </c>
    </row>
    <row r="13">
      <c r="A13" s="2" t="inlineStr">
        <is>
          <t>American Construction &amp; Concrete</t>
        </is>
      </c>
      <c r="B13" s="2" t="inlineStr">
        <is>
          <t>concrete, painting, roofing, general contracting, commercial construction</t>
        </is>
      </c>
      <c r="C13" s="2" t="inlineStr">
        <is>
          <t>Mount Joy</t>
        </is>
      </c>
      <c r="D13" s="2" t="inlineStr">
        <is>
          <t>PA</t>
        </is>
      </c>
      <c r="E13" s="2" t="inlineStr">
        <is>
          <t>http://www.americancandc.com</t>
        </is>
      </c>
      <c r="F13" s="2" t="n"/>
      <c r="G13" s="2" t="n"/>
      <c r="H13" s="2" t="n"/>
      <c r="I13" s="2" t="inlineStr">
        <is>
          <t>+1 717-458-1976</t>
        </is>
      </c>
      <c r="J13" s="2" t="n">
        <v>32</v>
      </c>
      <c r="K13" s="3">
        <f>IF(OR(H13&lt;&gt;"",I13&lt;&gt;""),"Yes","No")</f>
        <v/>
      </c>
      <c r="L13" s="4" t="inlineStr">
        <is>
          <t>New</t>
        </is>
      </c>
      <c r="M13" s="5" t="n"/>
      <c r="N13" s="2" t="n"/>
      <c r="O13" s="2" t="inlineStr">
        <is>
          <t>apollo.io/organizations</t>
        </is>
      </c>
      <c r="P13" s="2" t="inlineStr">
        <is>
          <t>2026-09-19T17:30:01+00:00</t>
        </is>
      </c>
      <c r="Q13" s="2" t="inlineStr">
        <is>
          <t>6437c5a0b0185e01b39eb62e</t>
        </is>
      </c>
    </row>
    <row r="14">
      <c r="A14" s="2" t="inlineStr">
        <is>
          <t>McHales Inc.</t>
        </is>
      </c>
      <c r="B14" s="2" t="inlineStr">
        <is>
          <t>plumbing, hvac, electrical, remodeling, home services</t>
        </is>
      </c>
      <c r="C14" s="2" t="inlineStr">
        <is>
          <t>Levittown</t>
        </is>
      </c>
      <c r="D14" s="2" t="inlineStr">
        <is>
          <t>PA</t>
        </is>
      </c>
      <c r="E14" s="2" t="inlineStr">
        <is>
          <t>http://www.mchales.net</t>
        </is>
      </c>
      <c r="F14" s="2" t="n"/>
      <c r="G14" s="2" t="n"/>
      <c r="H14" s="2" t="n"/>
      <c r="I14" s="2" t="inlineStr">
        <is>
          <t>+1 215-443-3333</t>
        </is>
      </c>
      <c r="J14" s="2" t="n">
        <v>13</v>
      </c>
      <c r="K14" s="3">
        <f>IF(OR(H14&lt;&gt;"",I14&lt;&gt;""),"Yes","No")</f>
        <v/>
      </c>
      <c r="L14" s="4" t="inlineStr">
        <is>
          <t>New</t>
        </is>
      </c>
      <c r="M14" s="5" t="n"/>
      <c r="N14" s="2" t="n"/>
      <c r="O14" s="2" t="inlineStr">
        <is>
          <t>apollo.io/organizations</t>
        </is>
      </c>
      <c r="P14" s="2" t="inlineStr">
        <is>
          <t>2026-09-19T17:30:01+00:00</t>
        </is>
      </c>
      <c r="Q14" s="2" t="inlineStr">
        <is>
          <t>636ce79ea839d300a34c2beb</t>
        </is>
      </c>
    </row>
    <row r="15">
      <c r="A15" s="2" t="inlineStr">
        <is>
          <t>Modern Plumbing &amp; Heating</t>
        </is>
      </c>
      <c r="B15" s="2" t="inlineStr">
        <is>
          <t>plumbing services, hvac, electrical, drain cleaning, water heater repair</t>
        </is>
      </c>
      <c r="C15" s="2" t="inlineStr">
        <is>
          <t>Macungie</t>
        </is>
      </c>
      <c r="D15" s="2" t="inlineStr">
        <is>
          <t>PA</t>
        </is>
      </c>
      <c r="E15" s="2" t="inlineStr">
        <is>
          <t>http://www.modernplumbingpa.com</t>
        </is>
      </c>
      <c r="F15" s="2" t="n"/>
      <c r="G15" s="2" t="n"/>
      <c r="H15" s="2" t="n"/>
      <c r="I15" s="2" t="inlineStr">
        <is>
          <t>+1 610-435-2081</t>
        </is>
      </c>
      <c r="J15" s="2" t="n">
        <v>4</v>
      </c>
      <c r="K15" s="3">
        <f>IF(OR(H15&lt;&gt;"",I15&lt;&gt;""),"Yes","No")</f>
        <v/>
      </c>
      <c r="L15" s="4" t="inlineStr">
        <is>
          <t>New</t>
        </is>
      </c>
      <c r="M15" s="5" t="n"/>
      <c r="N15" s="2" t="n"/>
      <c r="O15" s="2" t="inlineStr">
        <is>
          <t>apollo.io/organizations</t>
        </is>
      </c>
      <c r="P15" s="2" t="inlineStr">
        <is>
          <t>2026-09-19T17:30:01+00:00</t>
        </is>
      </c>
      <c r="Q15" s="2" t="inlineStr">
        <is>
          <t>65e2e8d09db56401c6b45eea</t>
        </is>
      </c>
    </row>
    <row r="16">
      <c r="A16" s="2" t="inlineStr">
        <is>
          <t>Gillece</t>
        </is>
      </c>
      <c r="B16" s="2" t="inlineStr">
        <is>
          <t>plumbing services, heating services, cooling services, electrical services</t>
        </is>
      </c>
      <c r="C16" s="2" t="inlineStr">
        <is>
          <t>Bridgeville</t>
        </is>
      </c>
      <c r="D16" s="2" t="inlineStr">
        <is>
          <t>PA</t>
        </is>
      </c>
      <c r="E16" s="2" t="n"/>
      <c r="F16" s="2" t="n"/>
      <c r="G16" s="2" t="n"/>
      <c r="H16" s="2" t="n"/>
      <c r="I16" s="2" t="inlineStr">
        <is>
          <t>+1 412-888-0010</t>
        </is>
      </c>
      <c r="J16" s="2" t="n">
        <v>31</v>
      </c>
      <c r="K16" s="3">
        <f>IF(OR(H16&lt;&gt;"",I16&lt;&gt;""),"Yes","No")</f>
        <v/>
      </c>
      <c r="L16" s="4" t="inlineStr">
        <is>
          <t>New</t>
        </is>
      </c>
      <c r="M16" s="5" t="n"/>
      <c r="N16" s="2" t="inlineStr">
        <is>
          <t>Queried gillece.com; Apollo matched a different org record (id 54a1364b..., no primary_domain) than the lookup result (id 6336c0bd..., 'Gillece Services').</t>
        </is>
      </c>
      <c r="O16" s="2" t="inlineStr">
        <is>
          <t>apollo.io/organizations</t>
        </is>
      </c>
      <c r="P16" s="2" t="inlineStr">
        <is>
          <t>2026-09-19T17:30:01+00:00</t>
        </is>
      </c>
      <c r="Q16" s="2" t="inlineStr">
        <is>
          <t>54a1364b69702d46f0051401</t>
        </is>
      </c>
    </row>
    <row r="17">
      <c r="A17" s="2" t="inlineStr">
        <is>
          <t>FORTA Concrete Fiber</t>
        </is>
      </c>
      <c r="B17" s="2" t="inlineStr">
        <is>
          <t>fiber reinforcement, concrete reinforcement, concrete fibers</t>
        </is>
      </c>
      <c r="C17" s="2" t="inlineStr">
        <is>
          <t>Grove City</t>
        </is>
      </c>
      <c r="D17" s="2" t="inlineStr">
        <is>
          <t>PA</t>
        </is>
      </c>
      <c r="E17" s="2" t="inlineStr">
        <is>
          <t>http://www.fortacorp.com</t>
        </is>
      </c>
      <c r="F17" s="2" t="n"/>
      <c r="G17" s="2" t="n"/>
      <c r="H17" s="2" t="n"/>
      <c r="I17" s="2" t="inlineStr">
        <is>
          <t>+1 724-458-5221</t>
        </is>
      </c>
      <c r="J17" s="2" t="n">
        <v>44</v>
      </c>
      <c r="K17" s="3">
        <f>IF(OR(H17&lt;&gt;"",I17&lt;&gt;""),"Yes","No")</f>
        <v/>
      </c>
      <c r="L17" s="4" t="inlineStr">
        <is>
          <t>New</t>
        </is>
      </c>
      <c r="M17" s="5" t="n"/>
      <c r="N17" s="2" t="inlineStr">
        <is>
          <t>Manufacturer of concrete fiber, not a contractor. Owned by The Heritage Group.</t>
        </is>
      </c>
      <c r="O17" s="2" t="inlineStr">
        <is>
          <t>apollo.io/organizations</t>
        </is>
      </c>
      <c r="P17" s="2" t="inlineStr">
        <is>
          <t>2026-09-19T17:30:01+00:00</t>
        </is>
      </c>
      <c r="Q17" s="2" t="inlineStr">
        <is>
          <t>54a1289b69702d9548e62201</t>
        </is>
      </c>
    </row>
    <row r="18">
      <c r="A18" s="2" t="inlineStr">
        <is>
          <t>Gray Concrete 2 Go</t>
        </is>
      </c>
      <c r="B18" s="2" t="inlineStr">
        <is>
          <t>concrete supply, concrete delivery, decorative concrete</t>
        </is>
      </c>
      <c r="C18" s="2" t="inlineStr">
        <is>
          <t>Dover</t>
        </is>
      </c>
      <c r="D18" s="2" t="inlineStr">
        <is>
          <t>PA</t>
        </is>
      </c>
      <c r="E18" s="2" t="inlineStr">
        <is>
          <t>http://www.grayconcrete2go.com</t>
        </is>
      </c>
      <c r="F18" s="2" t="n"/>
      <c r="G18" s="2" t="n"/>
      <c r="H18" s="2" t="n"/>
      <c r="I18" s="2" t="inlineStr">
        <is>
          <t>+1 717-577-3520</t>
        </is>
      </c>
      <c r="J18" s="2" t="n">
        <v>3</v>
      </c>
      <c r="K18" s="3">
        <f>IF(OR(H18&lt;&gt;"",I18&lt;&gt;""),"Yes","No")</f>
        <v/>
      </c>
      <c r="L18" s="4" t="inlineStr">
        <is>
          <t>New</t>
        </is>
      </c>
      <c r="M18" s="5" t="n"/>
      <c r="N18" s="2" t="inlineStr">
        <is>
          <t>Concrete supplier. Owned by Gray Concrete Construction.</t>
        </is>
      </c>
      <c r="O18" s="2" t="inlineStr">
        <is>
          <t>apollo.io/organizations</t>
        </is>
      </c>
      <c r="P18" s="2" t="inlineStr">
        <is>
          <t>2026-09-19T17:30:01+00:00</t>
        </is>
      </c>
      <c r="Q18" s="2" t="inlineStr">
        <is>
          <t>6726fb136893d600010ae1c5</t>
        </is>
      </c>
    </row>
    <row r="19">
      <c r="A19" s="2" t="inlineStr">
        <is>
          <t>Christian Home Services Heating, Cooling, Plumbing &amp; Electrical</t>
        </is>
      </c>
      <c r="B19" s="2" t="inlineStr">
        <is>
          <t>hvac, plumbing, electrical, furnace repair, air conditioning</t>
        </is>
      </c>
      <c r="C19" s="2" t="inlineStr">
        <is>
          <t>Southampton</t>
        </is>
      </c>
      <c r="D19" s="2" t="inlineStr">
        <is>
          <t>PA</t>
        </is>
      </c>
      <c r="E19" s="2" t="inlineStr">
        <is>
          <t>http://www.christianhvac.com</t>
        </is>
      </c>
      <c r="F19" s="2" t="n"/>
      <c r="G19" s="2" t="n"/>
      <c r="H19" s="2" t="n"/>
      <c r="I19" s="2" t="inlineStr">
        <is>
          <t>+1 215-372-8636</t>
        </is>
      </c>
      <c r="J19" s="2" t="n">
        <v>33</v>
      </c>
      <c r="K19" s="3">
        <f>IF(OR(H19&lt;&gt;"",I19&lt;&gt;""),"Yes","No")</f>
        <v/>
      </c>
      <c r="L19" s="4" t="inlineStr">
        <is>
          <t>New</t>
        </is>
      </c>
      <c r="M19" s="5" t="n"/>
      <c r="N19" s="2" t="n"/>
      <c r="O19" s="2" t="inlineStr">
        <is>
          <t>apollo.io/organizations</t>
        </is>
      </c>
      <c r="P19" s="2" t="inlineStr">
        <is>
          <t>2026-09-19T17:30:01+00:00</t>
        </is>
      </c>
      <c r="Q19" s="2" t="inlineStr">
        <is>
          <t>54a11cf469702d9d7e62e300</t>
        </is>
      </c>
    </row>
    <row r="20">
      <c r="A20" s="2" t="inlineStr">
        <is>
          <t>GEN3 Electric &amp; HVAC</t>
        </is>
      </c>
      <c r="B20" s="2" t="inlineStr">
        <is>
          <t>electrical services, hvac, electrician, panel upgrades, furnace repair</t>
        </is>
      </c>
      <c r="C20" s="2" t="inlineStr">
        <is>
          <t>Philadelphia</t>
        </is>
      </c>
      <c r="D20" s="2" t="inlineStr">
        <is>
          <t>PA</t>
        </is>
      </c>
      <c r="E20" s="2" t="inlineStr">
        <is>
          <t>http://www.generation3electric.com</t>
        </is>
      </c>
      <c r="F20" s="2" t="n"/>
      <c r="G20" s="2" t="n"/>
      <c r="H20" s="2" t="n"/>
      <c r="I20" s="2" t="inlineStr">
        <is>
          <t>+1 215-512-4102</t>
        </is>
      </c>
      <c r="J20" s="2" t="n">
        <v>50</v>
      </c>
      <c r="K20" s="3">
        <f>IF(OR(H20&lt;&gt;"",I20&lt;&gt;""),"Yes","No")</f>
        <v/>
      </c>
      <c r="L20" s="4" t="inlineStr">
        <is>
          <t>New</t>
        </is>
      </c>
      <c r="M20" s="5" t="n"/>
      <c r="N20" s="2" t="n"/>
      <c r="O20" s="2" t="inlineStr">
        <is>
          <t>apollo.io/organizations</t>
        </is>
      </c>
      <c r="P20" s="2" t="inlineStr">
        <is>
          <t>2026-09-19T17:30:01+00:00</t>
        </is>
      </c>
      <c r="Q20" s="2" t="inlineStr">
        <is>
          <t>556dc3937369641258da8301</t>
        </is>
      </c>
    </row>
    <row r="21">
      <c r="A21" s="2" t="inlineStr">
        <is>
          <t>American Remodeling Enterprises Inc.</t>
        </is>
      </c>
      <c r="B21" s="2" t="inlineStr">
        <is>
          <t>roofing, siding, windows, remodeling, bathroom remodeling</t>
        </is>
      </c>
      <c r="C21" s="2" t="inlineStr">
        <is>
          <t>Schuylkill Haven</t>
        </is>
      </c>
      <c r="D21" s="2" t="inlineStr">
        <is>
          <t>PA</t>
        </is>
      </c>
      <c r="E21" s="2" t="inlineStr">
        <is>
          <t>http://www.americanremodeling.net</t>
        </is>
      </c>
      <c r="F21" s="2" t="n"/>
      <c r="G21" s="2" t="n"/>
      <c r="H21" s="2" t="n"/>
      <c r="I21" s="2" t="inlineStr">
        <is>
          <t>+1 888-739-7339</t>
        </is>
      </c>
      <c r="J21" s="2" t="n">
        <v>29</v>
      </c>
      <c r="K21" s="3">
        <f>IF(OR(H21&lt;&gt;"",I21&lt;&gt;""),"Yes","No")</f>
        <v/>
      </c>
      <c r="L21" s="4" t="inlineStr">
        <is>
          <t>New</t>
        </is>
      </c>
      <c r="M21" s="5" t="n"/>
      <c r="N21" s="2" t="n"/>
      <c r="O21" s="2" t="inlineStr">
        <is>
          <t>apollo.io/organizations</t>
        </is>
      </c>
      <c r="P21" s="2" t="inlineStr">
        <is>
          <t>2026-09-19T17:30:01+00:00</t>
        </is>
      </c>
      <c r="Q21" s="2" t="inlineStr">
        <is>
          <t>6129a94cc7406400016e8192</t>
        </is>
      </c>
    </row>
    <row r="22">
      <c r="A22" s="2" t="inlineStr">
        <is>
          <t>Wm. Henderson Plumbing Heating and Cooling</t>
        </is>
      </c>
      <c r="B22" s="2" t="inlineStr">
        <is>
          <t>plumbing, hvac, electrical, drain cleaning, water heaters</t>
        </is>
      </c>
      <c r="C22" s="2" t="inlineStr">
        <is>
          <t>Broomall</t>
        </is>
      </c>
      <c r="D22" s="2" t="inlineStr">
        <is>
          <t>PA</t>
        </is>
      </c>
      <c r="E22" s="2" t="inlineStr">
        <is>
          <t>http://www.wmhendersoninc.com</t>
        </is>
      </c>
      <c r="F22" s="2" t="n"/>
      <c r="G22" s="2" t="n"/>
      <c r="H22" s="2" t="n"/>
      <c r="I22" s="2" t="inlineStr">
        <is>
          <t>+1 610-544-7999</t>
        </is>
      </c>
      <c r="J22" s="2" t="n">
        <v>35</v>
      </c>
      <c r="K22" s="3">
        <f>IF(OR(H22&lt;&gt;"",I22&lt;&gt;""),"Yes","No")</f>
        <v/>
      </c>
      <c r="L22" s="4" t="inlineStr">
        <is>
          <t>New</t>
        </is>
      </c>
      <c r="M22" s="5" t="n"/>
      <c r="N22" s="2" t="n"/>
      <c r="O22" s="2" t="inlineStr">
        <is>
          <t>apollo.io/organizations</t>
        </is>
      </c>
      <c r="P22" s="2" t="inlineStr">
        <is>
          <t>2026-09-19T17:30:01+00:00</t>
        </is>
      </c>
      <c r="Q22" s="2" t="inlineStr">
        <is>
          <t>5d096a28f651257f55823650</t>
        </is>
      </c>
    </row>
    <row r="23">
      <c r="A23" s="2" t="inlineStr">
        <is>
          <t>Howard Concrete Pumping Company, Inc.</t>
        </is>
      </c>
      <c r="B23" s="2" t="inlineStr">
        <is>
          <t>concrete pumping, mine grouting, shotcrete walls, micropiles</t>
        </is>
      </c>
      <c r="C23" s="2" t="inlineStr">
        <is>
          <t>Canonsburg</t>
        </is>
      </c>
      <c r="D23" s="2" t="inlineStr">
        <is>
          <t>PA</t>
        </is>
      </c>
      <c r="E23" s="2" t="inlineStr">
        <is>
          <t>http://www.howardconcretepumping.com</t>
        </is>
      </c>
      <c r="F23" s="2" t="n"/>
      <c r="G23" s="2" t="n"/>
      <c r="H23" s="2" t="n"/>
      <c r="I23" s="2" t="inlineStr">
        <is>
          <t>+1 412-257-1800</t>
        </is>
      </c>
      <c r="J23" s="2" t="n">
        <v>43</v>
      </c>
      <c r="K23" s="3">
        <f>IF(OR(H23&lt;&gt;"",I23&lt;&gt;""),"Yes","No")</f>
        <v/>
      </c>
      <c r="L23" s="4" t="inlineStr">
        <is>
          <t>New</t>
        </is>
      </c>
      <c r="M23" s="5" t="n"/>
      <c r="N23" s="2" t="n"/>
      <c r="O23" s="2" t="inlineStr">
        <is>
          <t>apollo.io/organizations</t>
        </is>
      </c>
      <c r="P23" s="2" t="inlineStr">
        <is>
          <t>2026-09-19T17:30:01+00:00</t>
        </is>
      </c>
      <c r="Q23" s="2" t="inlineStr">
        <is>
          <t>55ef0a72f3e5bb285000281c</t>
        </is>
      </c>
    </row>
    <row r="24">
      <c r="A24" s="2" t="inlineStr">
        <is>
          <t>Thermotech, Inc.</t>
        </is>
      </c>
      <c r="B24" s="2" t="inlineStr">
        <is>
          <t>heating, air conditioning, refrigeration, electrical, plumbing</t>
        </is>
      </c>
      <c r="C24" s="2" t="inlineStr">
        <is>
          <t>Camp Hill</t>
        </is>
      </c>
      <c r="D24" s="2" t="inlineStr">
        <is>
          <t>PA</t>
        </is>
      </c>
      <c r="E24" s="2" t="inlineStr">
        <is>
          <t>http://www.thermotechhbg.com</t>
        </is>
      </c>
      <c r="F24" s="2" t="n"/>
      <c r="G24" s="2" t="n"/>
      <c r="H24" s="2" t="n"/>
      <c r="I24" s="2" t="inlineStr">
        <is>
          <t>+1 717-234-4500</t>
        </is>
      </c>
      <c r="J24" s="2" t="n">
        <v>19</v>
      </c>
      <c r="K24" s="3">
        <f>IF(OR(H24&lt;&gt;"",I24&lt;&gt;""),"Yes","No")</f>
        <v/>
      </c>
      <c r="L24" s="4" t="inlineStr">
        <is>
          <t>New</t>
        </is>
      </c>
      <c r="M24" s="5" t="n"/>
      <c r="N24" s="2" t="inlineStr">
        <is>
          <t>Apollo's short_description describes a Minnesota injection-molding firm, not this PA HVAC/refrigeration contractor. Description field is unreliable for this record.</t>
        </is>
      </c>
      <c r="O24" s="2" t="inlineStr">
        <is>
          <t>apollo.io/organizations</t>
        </is>
      </c>
      <c r="P24" s="2" t="inlineStr">
        <is>
          <t>2026-09-19T17:30:01+00:00</t>
        </is>
      </c>
      <c r="Q24" s="2" t="inlineStr">
        <is>
          <t>5c1ec7d4f651259b6e1f4b5b</t>
        </is>
      </c>
    </row>
    <row r="25">
      <c r="A25" s="2" t="inlineStr">
        <is>
          <t>SJ Remodeling Co.</t>
        </is>
      </c>
      <c r="B25" s="2" t="inlineStr">
        <is>
          <t>remodeling, flooring, roofing, painting, drywall, landscaping</t>
        </is>
      </c>
      <c r="C25" s="2" t="inlineStr">
        <is>
          <t>Carlisle</t>
        </is>
      </c>
      <c r="D25" s="2" t="inlineStr">
        <is>
          <t>PA</t>
        </is>
      </c>
      <c r="E25" s="2" t="inlineStr">
        <is>
          <t>http://www.sjremodelingco.com</t>
        </is>
      </c>
      <c r="F25" s="2" t="n"/>
      <c r="G25" s="2" t="n"/>
      <c r="H25" s="2" t="n"/>
      <c r="I25" s="2" t="inlineStr">
        <is>
          <t>+1 717-305-2749</t>
        </is>
      </c>
      <c r="J25" s="2" t="n">
        <v>5</v>
      </c>
      <c r="K25" s="3">
        <f>IF(OR(H25&lt;&gt;"",I25&lt;&gt;""),"Yes","No")</f>
        <v/>
      </c>
      <c r="L25" s="4" t="inlineStr">
        <is>
          <t>New</t>
        </is>
      </c>
      <c r="M25" s="5" t="n"/>
      <c r="N25" s="2" t="n"/>
      <c r="O25" s="2" t="inlineStr">
        <is>
          <t>apollo.io/organizations</t>
        </is>
      </c>
      <c r="P25" s="2" t="inlineStr">
        <is>
          <t>2026-09-19T17:30:01+00:00</t>
        </is>
      </c>
      <c r="Q25" s="2" t="inlineStr">
        <is>
          <t>664c381c0302770001727f9d</t>
        </is>
      </c>
    </row>
    <row r="26">
      <c r="A26" s="2" t="inlineStr">
        <is>
          <t>Essig Plumbing &amp; Heating</t>
        </is>
      </c>
      <c r="B26" s="2" t="inlineStr">
        <is>
          <t>plumbing, heating, air conditioning, drain cleaning, heat pumps</t>
        </is>
      </c>
      <c r="C26" s="2" t="inlineStr">
        <is>
          <t>Reading</t>
        </is>
      </c>
      <c r="D26" s="2" t="inlineStr">
        <is>
          <t>PA</t>
        </is>
      </c>
      <c r="E26" s="2" t="inlineStr">
        <is>
          <t>http://www.makeitessig.com</t>
        </is>
      </c>
      <c r="F26" s="2" t="n"/>
      <c r="G26" s="2" t="n"/>
      <c r="H26" s="2" t="n"/>
      <c r="I26" s="2" t="inlineStr">
        <is>
          <t>+1 610-557-3302</t>
        </is>
      </c>
      <c r="J26" s="2" t="n">
        <v>35</v>
      </c>
      <c r="K26" s="3">
        <f>IF(OR(H26&lt;&gt;"",I26&lt;&gt;""),"Yes","No")</f>
        <v/>
      </c>
      <c r="L26" s="4" t="inlineStr">
        <is>
          <t>New</t>
        </is>
      </c>
      <c r="M26" s="5" t="n"/>
      <c r="N26" s="2" t="n"/>
      <c r="O26" s="2" t="inlineStr">
        <is>
          <t>apollo.io/organizations</t>
        </is>
      </c>
      <c r="P26" s="2" t="inlineStr">
        <is>
          <t>2026-09-19T17:30:01+00:00</t>
        </is>
      </c>
      <c r="Q26" s="2" t="inlineStr">
        <is>
          <t>56de964bf3e5bb706e000fe4</t>
        </is>
      </c>
    </row>
    <row r="27">
      <c r="A27" s="2" t="inlineStr">
        <is>
          <t>Restano Heating, Cooling, Plumbing &amp; Electrical</t>
        </is>
      </c>
      <c r="B27" s="2" t="inlineStr">
        <is>
          <t>hvac, plumbing, furnace repair, air conditioning repair</t>
        </is>
      </c>
      <c r="C27" s="2" t="inlineStr">
        <is>
          <t>Plum</t>
        </is>
      </c>
      <c r="D27" s="2" t="inlineStr">
        <is>
          <t>PA</t>
        </is>
      </c>
      <c r="E27" s="2" t="inlineStr">
        <is>
          <t>http://www.restano.com</t>
        </is>
      </c>
      <c r="F27" s="2" t="n"/>
      <c r="G27" s="2" t="n"/>
      <c r="H27" s="2" t="n"/>
      <c r="I27" s="2" t="inlineStr">
        <is>
          <t>+1 412-528-1018</t>
        </is>
      </c>
      <c r="J27" s="2" t="n">
        <v>17</v>
      </c>
      <c r="K27" s="3">
        <f>IF(OR(H27&lt;&gt;"",I27&lt;&gt;""),"Yes","No")</f>
        <v/>
      </c>
      <c r="L27" s="4" t="inlineStr">
        <is>
          <t>New</t>
        </is>
      </c>
      <c r="M27" s="5" t="n"/>
      <c r="N27" s="2" t="n"/>
      <c r="O27" s="2" t="inlineStr">
        <is>
          <t>apollo.io/organizations</t>
        </is>
      </c>
      <c r="P27" s="2" t="inlineStr">
        <is>
          <t>2026-09-19T17:30:01+00:00</t>
        </is>
      </c>
      <c r="Q27" s="2" t="inlineStr">
        <is>
          <t>5f485faab495f8000111eb37</t>
        </is>
      </c>
    </row>
    <row r="28">
      <c r="A28" s="2" t="inlineStr">
        <is>
          <t>SelectPro LLC</t>
        </is>
      </c>
      <c r="B28" s="2" t="inlineStr">
        <is>
          <t>hvac, plumbing, roofing, siding, painting, remodeling</t>
        </is>
      </c>
      <c r="C28" s="2" t="inlineStr">
        <is>
          <t>Upper Darby</t>
        </is>
      </c>
      <c r="D28" s="2" t="inlineStr">
        <is>
          <t>PA</t>
        </is>
      </c>
      <c r="E28" s="2" t="inlineStr">
        <is>
          <t>http://www.selectprollc.com</t>
        </is>
      </c>
      <c r="F28" s="2" t="n"/>
      <c r="G28" s="2" t="n"/>
      <c r="H28" s="2" t="n"/>
      <c r="I28" s="2" t="inlineStr">
        <is>
          <t>+1 610-880-8980</t>
        </is>
      </c>
      <c r="J28" s="2" t="n">
        <v>2</v>
      </c>
      <c r="K28" s="3">
        <f>IF(OR(H28&lt;&gt;"",I28&lt;&gt;""),"Yes","No")</f>
        <v/>
      </c>
      <c r="L28" s="4" t="inlineStr">
        <is>
          <t>New</t>
        </is>
      </c>
      <c r="M28" s="5" t="n"/>
      <c r="N28" s="2" t="n"/>
      <c r="O28" s="2" t="inlineStr">
        <is>
          <t>apollo.io/organizations</t>
        </is>
      </c>
      <c r="P28" s="2" t="inlineStr">
        <is>
          <t>2026-09-19T17:30:01+00:00</t>
        </is>
      </c>
      <c r="Q28" s="2" t="inlineStr">
        <is>
          <t>56e29dfef3e5bb18dd00148d</t>
        </is>
      </c>
    </row>
    <row r="29">
      <c r="A29" s="2" t="inlineStr">
        <is>
          <t>iFixit General Contractor</t>
        </is>
      </c>
      <c r="B29" s="2" t="inlineStr">
        <is>
          <t>carpentry, plumbing, electrical, roofing, landscaping, painting services</t>
        </is>
      </c>
      <c r="C29" s="2" t="inlineStr">
        <is>
          <t>Langhorne</t>
        </is>
      </c>
      <c r="D29" s="2" t="inlineStr">
        <is>
          <t>PA</t>
        </is>
      </c>
      <c r="E29" s="2" t="inlineStr">
        <is>
          <t>http://www.ifixith.com</t>
        </is>
      </c>
      <c r="F29" s="2" t="n"/>
      <c r="G29" s="2" t="n"/>
      <c r="H29" s="2" t="n"/>
      <c r="I29" s="2" t="inlineStr">
        <is>
          <t>+1 267-214-0944</t>
        </is>
      </c>
      <c r="J29" s="2" t="n">
        <v>4</v>
      </c>
      <c r="K29" s="3">
        <f>IF(OR(H29&lt;&gt;"",I29&lt;&gt;""),"Yes","No")</f>
        <v/>
      </c>
      <c r="L29" s="4" t="inlineStr">
        <is>
          <t>New</t>
        </is>
      </c>
      <c r="M29" s="5" t="n"/>
      <c r="N29" s="2" t="n"/>
      <c r="O29" s="2" t="inlineStr">
        <is>
          <t>apollo.io/organizations</t>
        </is>
      </c>
      <c r="P29" s="2" t="inlineStr">
        <is>
          <t>2026-09-19T17:30:01+00:00</t>
        </is>
      </c>
      <c r="Q29" s="2" t="inlineStr">
        <is>
          <t>5da6eb5884afb000019f805d</t>
        </is>
      </c>
    </row>
    <row r="30">
      <c r="A30" s="2" t="inlineStr">
        <is>
          <t>Rapid Air HVAC</t>
        </is>
      </c>
      <c r="B30" s="2" t="inlineStr">
        <is>
          <t>hvac, heating, air conditioning, furnace repair, boiler repair</t>
        </is>
      </c>
      <c r="C30" s="2" t="inlineStr">
        <is>
          <t>Pottstown</t>
        </is>
      </c>
      <c r="D30" s="2" t="inlineStr">
        <is>
          <t>PA</t>
        </is>
      </c>
      <c r="E30" s="2" t="inlineStr">
        <is>
          <t>http://www.rapidairhvac.com</t>
        </is>
      </c>
      <c r="F30" s="2" t="n"/>
      <c r="G30" s="2" t="n"/>
      <c r="H30" s="2" t="n"/>
      <c r="I30" s="2" t="inlineStr">
        <is>
          <t>+1 484-763-2704</t>
        </is>
      </c>
      <c r="J30" s="2" t="n">
        <v>9</v>
      </c>
      <c r="K30" s="3">
        <f>IF(OR(H30&lt;&gt;"",I30&lt;&gt;""),"Yes","No")</f>
        <v/>
      </c>
      <c r="L30" s="4" t="inlineStr">
        <is>
          <t>New</t>
        </is>
      </c>
      <c r="M30" s="5" t="n"/>
      <c r="N30" s="2" t="n"/>
      <c r="O30" s="2" t="inlineStr">
        <is>
          <t>apollo.io/organizations</t>
        </is>
      </c>
      <c r="P30" s="2" t="inlineStr">
        <is>
          <t>2026-09-19T17:30:01+00:00</t>
        </is>
      </c>
      <c r="Q30" s="2" t="inlineStr">
        <is>
          <t>67284c4962f46c0001d23e6e</t>
        </is>
      </c>
    </row>
    <row r="31">
      <c r="A31" s="2" t="inlineStr">
        <is>
          <t>Ames Construction, Inc.</t>
        </is>
      </c>
      <c r="B31" s="2" t="inlineStr">
        <is>
          <t>general contractor, plumbing, hvac, commercial construction</t>
        </is>
      </c>
      <c r="C31" s="2" t="inlineStr">
        <is>
          <t>Ephrata</t>
        </is>
      </c>
      <c r="D31" s="2" t="inlineStr">
        <is>
          <t>PA</t>
        </is>
      </c>
      <c r="E31" s="2" t="inlineStr">
        <is>
          <t>http://www.amesconstructioninc.com</t>
        </is>
      </c>
      <c r="F31" s="2" t="n"/>
      <c r="G31" s="2" t="n"/>
      <c r="H31" s="2" t="n"/>
      <c r="I31" s="2" t="inlineStr">
        <is>
          <t>+1 717-733-4141</t>
        </is>
      </c>
      <c r="J31" s="2" t="n">
        <v>34</v>
      </c>
      <c r="K31" s="3">
        <f>IF(OR(H31&lt;&gt;"",I31&lt;&gt;""),"Yes","No")</f>
        <v/>
      </c>
      <c r="L31" s="4" t="inlineStr">
        <is>
          <t>New</t>
        </is>
      </c>
      <c r="M31" s="5" t="n"/>
      <c r="N31" s="2" t="n"/>
      <c r="O31" s="2" t="inlineStr">
        <is>
          <t>apollo.io/organizations</t>
        </is>
      </c>
      <c r="P31" s="2" t="inlineStr">
        <is>
          <t>2026-09-19T17:30:01+00:00</t>
        </is>
      </c>
      <c r="Q31" s="2" t="inlineStr">
        <is>
          <t>55eb8c91f3e5bb13700002e4</t>
        </is>
      </c>
    </row>
    <row r="32">
      <c r="A32" s="2" t="inlineStr">
        <is>
          <t>Heidler Roofing, LLC</t>
        </is>
      </c>
      <c r="B32" s="2" t="inlineStr">
        <is>
          <t>roofing, commercial roofing, residential roofing, metal roofing, slate</t>
        </is>
      </c>
      <c r="C32" s="2" t="inlineStr">
        <is>
          <t>York</t>
        </is>
      </c>
      <c r="D32" s="2" t="inlineStr">
        <is>
          <t>PA</t>
        </is>
      </c>
      <c r="E32" s="2" t="inlineStr">
        <is>
          <t>http://www.heidlerroofing.com</t>
        </is>
      </c>
      <c r="F32" s="2" t="n"/>
      <c r="G32" s="2" t="n"/>
      <c r="H32" s="2" t="n"/>
      <c r="I32" s="2" t="inlineStr">
        <is>
          <t>+1 717-792-3549</t>
        </is>
      </c>
      <c r="J32" s="2" t="n">
        <v>46</v>
      </c>
      <c r="K32" s="3">
        <f>IF(OR(H32&lt;&gt;"",I32&lt;&gt;""),"Yes","No")</f>
        <v/>
      </c>
      <c r="L32" s="4" t="inlineStr">
        <is>
          <t>New</t>
        </is>
      </c>
      <c r="M32" s="5" t="n"/>
      <c r="N32" s="2" t="n"/>
      <c r="O32" s="2" t="inlineStr">
        <is>
          <t>apollo.io/organizations</t>
        </is>
      </c>
      <c r="P32" s="2" t="inlineStr">
        <is>
          <t>2026-09-19T17:30:01+00:00</t>
        </is>
      </c>
      <c r="Q32" s="2" t="inlineStr">
        <is>
          <t>54a1d1b674686945fa9b7e13</t>
        </is>
      </c>
    </row>
    <row r="33">
      <c r="A33" s="2" t="inlineStr">
        <is>
          <t>F5 Facility Services</t>
        </is>
      </c>
      <c r="B33" s="2" t="inlineStr">
        <is>
          <t>plumbing service, hvac service, painting, carpentry, concrete work, electrical service work</t>
        </is>
      </c>
      <c r="C33" s="2" t="inlineStr">
        <is>
          <t>McKees Rocks</t>
        </is>
      </c>
      <c r="D33" s="2" t="inlineStr">
        <is>
          <t>PA</t>
        </is>
      </c>
      <c r="E33" s="2" t="inlineStr">
        <is>
          <t>http://www.f5svcs.com</t>
        </is>
      </c>
      <c r="F33" s="2" t="n"/>
      <c r="G33" s="2" t="n"/>
      <c r="H33" s="2" t="n"/>
      <c r="I33" s="2" t="inlineStr">
        <is>
          <t>+1 412-921-5555</t>
        </is>
      </c>
      <c r="J33" s="2" t="n">
        <v>22</v>
      </c>
      <c r="K33" s="3">
        <f>IF(OR(H33&lt;&gt;"",I33&lt;&gt;""),"Yes","No")</f>
        <v/>
      </c>
      <c r="L33" s="4" t="inlineStr">
        <is>
          <t>New</t>
        </is>
      </c>
      <c r="M33" s="5" t="n"/>
      <c r="N33" s="2" t="n"/>
      <c r="O33" s="2" t="inlineStr">
        <is>
          <t>apollo.io/organizations</t>
        </is>
      </c>
      <c r="P33" s="2" t="inlineStr">
        <is>
          <t>2026-09-19T17:30:01+00:00</t>
        </is>
      </c>
      <c r="Q33" s="2" t="inlineStr">
        <is>
          <t>5da361a4e53eb80001767204</t>
        </is>
      </c>
    </row>
    <row r="34">
      <c r="A34" s="2" t="inlineStr">
        <is>
          <t>Mattioni Plumbing, Heating &amp; Cooling</t>
        </is>
      </c>
      <c r="B34" s="2" t="inlineStr">
        <is>
          <t>plumbing, hvac, heating, cooling, water heater services</t>
        </is>
      </c>
      <c r="C34" s="2" t="inlineStr">
        <is>
          <t>Downingtown</t>
        </is>
      </c>
      <c r="D34" s="2" t="inlineStr">
        <is>
          <t>PA</t>
        </is>
      </c>
      <c r="E34" s="2" t="inlineStr">
        <is>
          <t>http://www.callmattioni.com</t>
        </is>
      </c>
      <c r="F34" s="2" t="n"/>
      <c r="G34" s="2" t="n"/>
      <c r="H34" s="2" t="n"/>
      <c r="I34" s="2" t="inlineStr">
        <is>
          <t>+1 610-400-8510</t>
        </is>
      </c>
      <c r="J34" s="2" t="n">
        <v>44</v>
      </c>
      <c r="K34" s="3">
        <f>IF(OR(H34&lt;&gt;"",I34&lt;&gt;""),"Yes","No")</f>
        <v/>
      </c>
      <c r="L34" s="4" t="inlineStr">
        <is>
          <t>New</t>
        </is>
      </c>
      <c r="M34" s="5" t="n"/>
      <c r="N34" s="2" t="n"/>
      <c r="O34" s="2" t="inlineStr">
        <is>
          <t>apollo.io/organizations</t>
        </is>
      </c>
      <c r="P34" s="2" t="inlineStr">
        <is>
          <t>2026-09-19T17:30:01+00:00</t>
        </is>
      </c>
      <c r="Q34" s="2" t="inlineStr">
        <is>
          <t>5a9e305fa6da98d96643c97b</t>
        </is>
      </c>
    </row>
    <row r="35">
      <c r="A35" s="2" t="inlineStr">
        <is>
          <t>Russell Roofing &amp; Exteriors</t>
        </is>
      </c>
      <c r="B35" s="2" t="inlineStr">
        <is>
          <t>roofing, gutters, siding, windows, masonry, slate</t>
        </is>
      </c>
      <c r="C35" s="2" t="inlineStr">
        <is>
          <t>Oreland</t>
        </is>
      </c>
      <c r="D35" s="2" t="inlineStr">
        <is>
          <t>PA</t>
        </is>
      </c>
      <c r="E35" s="2" t="inlineStr">
        <is>
          <t>http://www.russellroofing.com</t>
        </is>
      </c>
      <c r="F35" s="2" t="n"/>
      <c r="G35" s="2" t="n"/>
      <c r="H35" s="2" t="n"/>
      <c r="I35" s="2" t="inlineStr">
        <is>
          <t>+1 888-567-7663</t>
        </is>
      </c>
      <c r="J35" s="2" t="n">
        <v>34</v>
      </c>
      <c r="K35" s="3">
        <f>IF(OR(H35&lt;&gt;"",I35&lt;&gt;""),"Yes","No")</f>
        <v/>
      </c>
      <c r="L35" s="4" t="inlineStr">
        <is>
          <t>New</t>
        </is>
      </c>
      <c r="M35" s="5" t="n"/>
      <c r="N35" s="2" t="n"/>
      <c r="O35" s="2" t="inlineStr">
        <is>
          <t>apollo.io/organizations</t>
        </is>
      </c>
      <c r="P35" s="2" t="inlineStr">
        <is>
          <t>2026-09-19T17:30:01+00:00</t>
        </is>
      </c>
      <c r="Q35" s="2" t="inlineStr">
        <is>
          <t>54a138e269702d2bfdc91300</t>
        </is>
      </c>
    </row>
    <row r="36">
      <c r="A36" s="2" t="inlineStr">
        <is>
          <t>Home Exchange PA</t>
        </is>
      </c>
      <c r="B36" s="2" t="inlineStr">
        <is>
          <t>carpentry services, lawn care, remodeling, plumbing services, roofing, painting</t>
        </is>
      </c>
      <c r="C36" s="2" t="inlineStr">
        <is>
          <t>Philadelphia</t>
        </is>
      </c>
      <c r="D36" s="2" t="inlineStr">
        <is>
          <t>PA</t>
        </is>
      </c>
      <c r="E36" s="2" t="inlineStr">
        <is>
          <t>http://www.homexchangepa.com</t>
        </is>
      </c>
      <c r="F36" s="2" t="n"/>
      <c r="G36" s="2" t="n"/>
      <c r="H36" s="2" t="n"/>
      <c r="I36" s="2" t="inlineStr">
        <is>
          <t>+1 215-966-1660</t>
        </is>
      </c>
      <c r="J36" s="2" t="n">
        <v>6</v>
      </c>
      <c r="K36" s="3">
        <f>IF(OR(H36&lt;&gt;"",I36&lt;&gt;""),"Yes","No")</f>
        <v/>
      </c>
      <c r="L36" s="4" t="inlineStr">
        <is>
          <t>New</t>
        </is>
      </c>
      <c r="M36" s="5" t="n"/>
      <c r="N36" s="2" t="n"/>
      <c r="O36" s="2" t="inlineStr">
        <is>
          <t>apollo.io/organizations</t>
        </is>
      </c>
      <c r="P36" s="2" t="inlineStr">
        <is>
          <t>2026-09-19T17:30:01+00:00</t>
        </is>
      </c>
      <c r="Q36" s="2" t="inlineStr">
        <is>
          <t>5fcb2475439c2e00016b5ac4</t>
        </is>
      </c>
    </row>
    <row r="37">
      <c r="A37" s="2" t="inlineStr">
        <is>
          <t>Buccos Roofing</t>
        </is>
      </c>
      <c r="B37" s="2" t="inlineStr">
        <is>
          <t>roof replacement, roof repair, commercial roofing, siding installation, gutters</t>
        </is>
      </c>
      <c r="C37" s="2" t="inlineStr">
        <is>
          <t>Bethel Park</t>
        </is>
      </c>
      <c r="D37" s="2" t="inlineStr">
        <is>
          <t>PA</t>
        </is>
      </c>
      <c r="E37" s="2" t="inlineStr">
        <is>
          <t>http://www.buccosroofing.com</t>
        </is>
      </c>
      <c r="F37" s="2" t="n"/>
      <c r="G37" s="2" t="n"/>
      <c r="H37" s="2" t="n"/>
      <c r="I37" s="2" t="inlineStr">
        <is>
          <t>+1 724-554-6224</t>
        </is>
      </c>
      <c r="J37" s="2" t="n">
        <v>22</v>
      </c>
      <c r="K37" s="3">
        <f>IF(OR(H37&lt;&gt;"",I37&lt;&gt;""),"Yes","No")</f>
        <v/>
      </c>
      <c r="L37" s="4" t="inlineStr">
        <is>
          <t>New</t>
        </is>
      </c>
      <c r="M37" s="5" t="n"/>
      <c r="N37" s="2" t="n"/>
      <c r="O37" s="2" t="inlineStr">
        <is>
          <t>apollo.io/organizations</t>
        </is>
      </c>
      <c r="P37" s="2" t="inlineStr">
        <is>
          <t>2026-09-19T17:30:01+00:00</t>
        </is>
      </c>
      <c r="Q37" s="2" t="inlineStr">
        <is>
          <t>5ed9e7a99be60d0001d993ce</t>
        </is>
      </c>
    </row>
    <row r="38">
      <c r="A38" s="2" t="inlineStr">
        <is>
          <t>Lebo's Plumbing, Heating, &amp; Air Conditioning</t>
        </is>
      </c>
      <c r="B38" s="2" t="inlineStr">
        <is>
          <t>plumbing services, hvac, air conditioning, heating</t>
        </is>
      </c>
      <c r="C38" s="2" t="inlineStr">
        <is>
          <t>Carlisle</t>
        </is>
      </c>
      <c r="D38" s="2" t="inlineStr">
        <is>
          <t>PA</t>
        </is>
      </c>
      <c r="E38" s="2" t="inlineStr">
        <is>
          <t>http://www.leboshvac.com</t>
        </is>
      </c>
      <c r="F38" s="2" t="n"/>
      <c r="G38" s="2" t="n"/>
      <c r="H38" s="2" t="n"/>
      <c r="I38" s="2" t="inlineStr">
        <is>
          <t>+1 717-243-8345</t>
        </is>
      </c>
      <c r="J38" s="2" t="n">
        <v>2</v>
      </c>
      <c r="K38" s="3">
        <f>IF(OR(H38&lt;&gt;"",I38&lt;&gt;""),"Yes","No")</f>
        <v/>
      </c>
      <c r="L38" s="4" t="inlineStr">
        <is>
          <t>New</t>
        </is>
      </c>
      <c r="M38" s="5" t="n"/>
      <c r="N38" s="2" t="n"/>
      <c r="O38" s="2" t="inlineStr">
        <is>
          <t>apollo.io/organizations</t>
        </is>
      </c>
      <c r="P38" s="2" t="inlineStr">
        <is>
          <t>2026-09-19T17:30:01+00:00</t>
        </is>
      </c>
      <c r="Q38" s="2" t="inlineStr">
        <is>
          <t>59bb9db8a6da9824096d7912</t>
        </is>
      </c>
    </row>
    <row r="39">
      <c r="A39" s="2" t="inlineStr">
        <is>
          <t>Adam Mechanical Heating, HVAC, Plumbing &amp; Sewer</t>
        </is>
      </c>
      <c r="B39" s="2" t="inlineStr">
        <is>
          <t>heating, plumbing, hvac, residential</t>
        </is>
      </c>
      <c r="C39" s="2" t="inlineStr">
        <is>
          <t>Havertown</t>
        </is>
      </c>
      <c r="D39" s="2" t="inlineStr">
        <is>
          <t>PA</t>
        </is>
      </c>
      <c r="E39" s="2" t="inlineStr">
        <is>
          <t>http://www.adamhomeservices.com</t>
        </is>
      </c>
      <c r="F39" s="2" t="n"/>
      <c r="G39" s="2" t="n"/>
      <c r="H39" s="2" t="n"/>
      <c r="I39" s="2" t="inlineStr">
        <is>
          <t>+1 610-457-7575</t>
        </is>
      </c>
      <c r="J39" s="2" t="n">
        <v>27</v>
      </c>
      <c r="K39" s="3">
        <f>IF(OR(H39&lt;&gt;"",I39&lt;&gt;""),"Yes","No")</f>
        <v/>
      </c>
      <c r="L39" s="4" t="inlineStr">
        <is>
          <t>New</t>
        </is>
      </c>
      <c r="M39" s="5" t="n"/>
      <c r="N39" s="2" t="n"/>
      <c r="O39" s="2" t="inlineStr">
        <is>
          <t>apollo.io/organizations</t>
        </is>
      </c>
      <c r="P39" s="2" t="inlineStr">
        <is>
          <t>2026-09-19T17:30:01+00:00</t>
        </is>
      </c>
      <c r="Q39" s="2" t="inlineStr">
        <is>
          <t>5eda3c0b7a685300010b8862</t>
        </is>
      </c>
    </row>
    <row r="40">
      <c r="A40" s="2" t="inlineStr">
        <is>
          <t>Groff's Heating, Air Conditioning, &amp; Plumbing, Inc.</t>
        </is>
      </c>
      <c r="B40" s="2" t="inlineStr">
        <is>
          <t>hvac, plumbing, electrical, solar installation, furnace repair</t>
        </is>
      </c>
      <c r="C40" s="2" t="inlineStr">
        <is>
          <t>Willow Street</t>
        </is>
      </c>
      <c r="D40" s="2" t="inlineStr">
        <is>
          <t>PA</t>
        </is>
      </c>
      <c r="E40" s="2" t="inlineStr">
        <is>
          <t>http://www.groffs.com</t>
        </is>
      </c>
      <c r="F40" s="2" t="n"/>
      <c r="G40" s="2" t="n"/>
      <c r="H40" s="2" t="n"/>
      <c r="I40" s="2" t="inlineStr">
        <is>
          <t>+1 717-464-9446</t>
        </is>
      </c>
      <c r="J40" s="2" t="n">
        <v>43</v>
      </c>
      <c r="K40" s="3">
        <f>IF(OR(H40&lt;&gt;"",I40&lt;&gt;""),"Yes","No")</f>
        <v/>
      </c>
      <c r="L40" s="4" t="inlineStr">
        <is>
          <t>New</t>
        </is>
      </c>
      <c r="M40" s="5" t="n"/>
      <c r="N40" s="2" t="n"/>
      <c r="O40" s="2" t="inlineStr">
        <is>
          <t>apollo.io/organizations</t>
        </is>
      </c>
      <c r="P40" s="2" t="inlineStr">
        <is>
          <t>2026-09-19T17:30:01+00:00</t>
        </is>
      </c>
      <c r="Q40" s="2" t="inlineStr">
        <is>
          <t>54a1354669702d3cbbbea600</t>
        </is>
      </c>
    </row>
    <row r="41">
      <c r="A41" s="2" t="inlineStr">
        <is>
          <t>Synergy3 Home Solutions</t>
        </is>
      </c>
      <c r="B41" s="2" t="inlineStr">
        <is>
          <t>hvac, plumbing, electric, electrical, air conditioning repair</t>
        </is>
      </c>
      <c r="C41" s="2" t="inlineStr">
        <is>
          <t>Philadelphia</t>
        </is>
      </c>
      <c r="D41" s="2" t="inlineStr">
        <is>
          <t>PA</t>
        </is>
      </c>
      <c r="E41" s="2" t="inlineStr">
        <is>
          <t>http://www.synergy3.com</t>
        </is>
      </c>
      <c r="F41" s="2" t="n"/>
      <c r="G41" s="2" t="n"/>
      <c r="H41" s="2" t="n"/>
      <c r="I41" s="2" t="inlineStr">
        <is>
          <t>+1 267-802-3026</t>
        </is>
      </c>
      <c r="J41" s="2" t="n">
        <v>19</v>
      </c>
      <c r="K41" s="3">
        <f>IF(OR(H41&lt;&gt;"",I41&lt;&gt;""),"Yes","No")</f>
        <v/>
      </c>
      <c r="L41" s="4" t="inlineStr">
        <is>
          <t>New</t>
        </is>
      </c>
      <c r="M41" s="5" t="n"/>
      <c r="N41" s="2" t="n"/>
      <c r="O41" s="2" t="inlineStr">
        <is>
          <t>apollo.io/organizations</t>
        </is>
      </c>
      <c r="P41" s="2" t="inlineStr">
        <is>
          <t>2026-09-19T17:30:01+00:00</t>
        </is>
      </c>
      <c r="Q41" s="2" t="inlineStr">
        <is>
          <t>61e6d805df00f100dae67383</t>
        </is>
      </c>
    </row>
    <row r="42">
      <c r="A42" s="2" t="inlineStr">
        <is>
          <t>Eastern Roofing Systems, Inc.</t>
        </is>
      </c>
      <c r="B42" s="2" t="inlineStr">
        <is>
          <t>commercial roofing, metal roofs, flat roofing, roof maintenance</t>
        </is>
      </c>
      <c r="C42" s="2" t="inlineStr">
        <is>
          <t>Jessup</t>
        </is>
      </c>
      <c r="D42" s="2" t="inlineStr">
        <is>
          <t>PA</t>
        </is>
      </c>
      <c r="E42" s="2" t="inlineStr">
        <is>
          <t>http://www.easternroofingsystems.com</t>
        </is>
      </c>
      <c r="F42" s="2" t="n"/>
      <c r="G42" s="2" t="n"/>
      <c r="H42" s="2" t="n"/>
      <c r="I42" s="2" t="inlineStr">
        <is>
          <t>+1 570-383-1818</t>
        </is>
      </c>
      <c r="J42" s="2" t="n">
        <v>26</v>
      </c>
      <c r="K42" s="3">
        <f>IF(OR(H42&lt;&gt;"",I42&lt;&gt;""),"Yes","No")</f>
        <v/>
      </c>
      <c r="L42" s="4" t="inlineStr">
        <is>
          <t>New</t>
        </is>
      </c>
      <c r="M42" s="5" t="n"/>
      <c r="N42" s="2" t="n"/>
      <c r="O42" s="2" t="inlineStr">
        <is>
          <t>apollo.io/organizations</t>
        </is>
      </c>
      <c r="P42" s="2" t="inlineStr">
        <is>
          <t>2026-09-19T17:30:01+00:00</t>
        </is>
      </c>
      <c r="Q42" s="2" t="inlineStr">
        <is>
          <t>54a19a07746869586086e200</t>
        </is>
      </c>
    </row>
    <row r="43">
      <c r="A43" s="2" t="inlineStr">
        <is>
          <t>Gray Concrete Construction</t>
        </is>
      </c>
      <c r="B43" s="2" t="inlineStr">
        <is>
          <t>concrete construction, decorative concrete, retaining walls, concrete repair</t>
        </is>
      </c>
      <c r="C43" s="2" t="inlineStr">
        <is>
          <t>Dover</t>
        </is>
      </c>
      <c r="D43" s="2" t="inlineStr">
        <is>
          <t>PA</t>
        </is>
      </c>
      <c r="E43" s="2" t="inlineStr">
        <is>
          <t>http://www.grayconcreteconstruction.com</t>
        </is>
      </c>
      <c r="F43" s="2" t="n"/>
      <c r="G43" s="2" t="n"/>
      <c r="H43" s="2" t="n"/>
      <c r="I43" s="2" t="inlineStr">
        <is>
          <t>+1 717-577-3520</t>
        </is>
      </c>
      <c r="J43" s="2" t="n">
        <v>3</v>
      </c>
      <c r="K43" s="3">
        <f>IF(OR(H43&lt;&gt;"",I43&lt;&gt;""),"Yes","No")</f>
        <v/>
      </c>
      <c r="L43" s="4" t="inlineStr">
        <is>
          <t>New</t>
        </is>
      </c>
      <c r="M43" s="5" t="n"/>
      <c r="N43" s="2" t="inlineStr">
        <is>
          <t>Shares phone with Gray Concrete 2 Go (sister company, same number).</t>
        </is>
      </c>
      <c r="O43" s="2" t="inlineStr">
        <is>
          <t>apollo.io/organizations</t>
        </is>
      </c>
      <c r="P43" s="2" t="inlineStr">
        <is>
          <t>2026-09-19T17:30:01+00:00</t>
        </is>
      </c>
      <c r="Q43" s="2" t="inlineStr">
        <is>
          <t>5500c2ba7369646159214300</t>
        </is>
      </c>
    </row>
    <row r="44">
      <c r="A44" s="2" t="inlineStr">
        <is>
          <t>James Brown Plumbing Heating &amp; Air Conditioning, LLC</t>
        </is>
      </c>
      <c r="B44" s="2" t="inlineStr">
        <is>
          <t>plumbing, heating, air conditioning, geothermal, radiant heat, landscaping</t>
        </is>
      </c>
      <c r="C44" s="2" t="inlineStr">
        <is>
          <t>West Chester</t>
        </is>
      </c>
      <c r="D44" s="2" t="inlineStr">
        <is>
          <t>PA</t>
        </is>
      </c>
      <c r="E44" s="2" t="inlineStr">
        <is>
          <t>http://www.jamesbrownphac.com</t>
        </is>
      </c>
      <c r="F44" s="2" t="n"/>
      <c r="G44" s="2" t="n"/>
      <c r="H44" s="2" t="n"/>
      <c r="I44" s="2" t="inlineStr">
        <is>
          <t>+1 610-873-0622</t>
        </is>
      </c>
      <c r="J44" s="2" t="n">
        <v>8</v>
      </c>
      <c r="K44" s="3">
        <f>IF(OR(H44&lt;&gt;"",I44&lt;&gt;""),"Yes","No")</f>
        <v/>
      </c>
      <c r="L44" s="4" t="inlineStr">
        <is>
          <t>New</t>
        </is>
      </c>
      <c r="M44" s="5" t="n"/>
      <c r="N44" s="2" t="n"/>
      <c r="O44" s="2" t="inlineStr">
        <is>
          <t>apollo.io/organizations</t>
        </is>
      </c>
      <c r="P44" s="2" t="inlineStr">
        <is>
          <t>2026-09-19T17:30:01+00:00</t>
        </is>
      </c>
      <c r="Q44" s="2" t="inlineStr">
        <is>
          <t>54a1c0f974686945fa29ff0d</t>
        </is>
      </c>
    </row>
    <row r="45">
      <c r="A45" s="2" t="inlineStr">
        <is>
          <t>Snyder's Plumbing Inc.</t>
        </is>
      </c>
      <c r="B45" s="2" t="inlineStr">
        <is>
          <t>residential plumbing, residential hvac, remodeling, water treatment</t>
        </is>
      </c>
      <c r="C45" s="2" t="inlineStr">
        <is>
          <t>Lancaster</t>
        </is>
      </c>
      <c r="D45" s="2" t="inlineStr">
        <is>
          <t>PA</t>
        </is>
      </c>
      <c r="E45" s="2" t="inlineStr">
        <is>
          <t>http://www.snydersplumbing.com</t>
        </is>
      </c>
      <c r="F45" s="2" t="n"/>
      <c r="G45" s="2" t="n"/>
      <c r="H45" s="2" t="n"/>
      <c r="I45" s="2" t="inlineStr">
        <is>
          <t>+1 717-492-9128</t>
        </is>
      </c>
      <c r="J45" s="2" t="n">
        <v>6</v>
      </c>
      <c r="K45" s="3">
        <f>IF(OR(H45&lt;&gt;"",I45&lt;&gt;""),"Yes","No")</f>
        <v/>
      </c>
      <c r="L45" s="4" t="inlineStr">
        <is>
          <t>New</t>
        </is>
      </c>
      <c r="M45" s="5" t="n"/>
      <c r="N45" s="2" t="n"/>
      <c r="O45" s="2" t="inlineStr">
        <is>
          <t>apollo.io/organizations</t>
        </is>
      </c>
      <c r="P45" s="2" t="inlineStr">
        <is>
          <t>2026-09-19T17:30:01+00:00</t>
        </is>
      </c>
      <c r="Q45" s="2" t="inlineStr">
        <is>
          <t>55f432b7f3e5bb1e190069c8</t>
        </is>
      </c>
    </row>
    <row r="46">
      <c r="A46" s="2" t="inlineStr">
        <is>
          <t>McLoughlin Plumbing, Heating, &amp; Cooling</t>
        </is>
      </c>
      <c r="B46" s="2" t="inlineStr">
        <is>
          <t>plumbing, heating, air conditioning, hvac, bath remodeling</t>
        </is>
      </c>
      <c r="C46" s="2" t="inlineStr">
        <is>
          <t>Upper Darby</t>
        </is>
      </c>
      <c r="D46" s="2" t="inlineStr">
        <is>
          <t>PA</t>
        </is>
      </c>
      <c r="E46" s="2" t="inlineStr">
        <is>
          <t>http://www.mcloughlinphc.com</t>
        </is>
      </c>
      <c r="F46" s="2" t="n"/>
      <c r="G46" s="2" t="n"/>
      <c r="H46" s="2" t="n"/>
      <c r="I46" s="2" t="inlineStr">
        <is>
          <t>+1 610-624-8037</t>
        </is>
      </c>
      <c r="J46" s="2" t="n">
        <v>15</v>
      </c>
      <c r="K46" s="3">
        <f>IF(OR(H46&lt;&gt;"",I46&lt;&gt;""),"Yes","No")</f>
        <v/>
      </c>
      <c r="L46" s="4" t="inlineStr">
        <is>
          <t>New</t>
        </is>
      </c>
      <c r="M46" s="5" t="n"/>
      <c r="N46" s="2" t="inlineStr">
        <is>
          <t>Owned by HomeServe UK; ultimate parent Brookfield. Not independent.</t>
        </is>
      </c>
      <c r="O46" s="2" t="inlineStr">
        <is>
          <t>apollo.io/organizations</t>
        </is>
      </c>
      <c r="P46" s="2" t="inlineStr">
        <is>
          <t>2026-09-19T17:30:01+00:00</t>
        </is>
      </c>
      <c r="Q46" s="2" t="inlineStr">
        <is>
          <t>54a1284569702d9548b1f900</t>
        </is>
      </c>
    </row>
    <row r="47">
      <c r="A47" s="2" t="inlineStr">
        <is>
          <t>J&amp;A Heating, Cooling, Plumbing &amp; Electric</t>
        </is>
      </c>
      <c r="B47" s="2" t="inlineStr">
        <is>
          <t>hvac installation repair, plumbing services, electrical services, furnace repair</t>
        </is>
      </c>
      <c r="C47" s="2" t="inlineStr">
        <is>
          <t>West Mifflin</t>
        </is>
      </c>
      <c r="D47" s="2" t="inlineStr">
        <is>
          <t>PA</t>
        </is>
      </c>
      <c r="E47" s="2" t="inlineStr">
        <is>
          <t>http://www.jandahvac.com</t>
        </is>
      </c>
      <c r="F47" s="2" t="n"/>
      <c r="G47" s="2" t="n"/>
      <c r="H47" s="2" t="n"/>
      <c r="I47" s="2" t="inlineStr">
        <is>
          <t>+1 412-835-1010</t>
        </is>
      </c>
      <c r="J47" s="2" t="n">
        <v>8</v>
      </c>
      <c r="K47" s="3">
        <f>IF(OR(H47&lt;&gt;"",I47&lt;&gt;""),"Yes","No")</f>
        <v/>
      </c>
      <c r="L47" s="4" t="inlineStr">
        <is>
          <t>New</t>
        </is>
      </c>
      <c r="M47" s="5" t="n"/>
      <c r="N47" s="2" t="n"/>
      <c r="O47" s="2" t="inlineStr">
        <is>
          <t>apollo.io/organizations</t>
        </is>
      </c>
      <c r="P47" s="2" t="inlineStr">
        <is>
          <t>2026-09-19T17:30:01+00:00</t>
        </is>
      </c>
      <c r="Q47" s="2" t="inlineStr">
        <is>
          <t>5ed11ee3cd850a000199d744</t>
        </is>
      </c>
    </row>
    <row r="48">
      <c r="A48" s="2" t="inlineStr">
        <is>
          <t>CircuitSolver</t>
        </is>
      </c>
      <c r="B48" s="2" t="inlineStr">
        <is>
          <t>balancing valves, plumbing equipment manufacturing, hvac equipment manufacturing</t>
        </is>
      </c>
      <c r="C48" s="2" t="inlineStr">
        <is>
          <t>Warminster</t>
        </is>
      </c>
      <c r="D48" s="2" t="inlineStr">
        <is>
          <t>PA</t>
        </is>
      </c>
      <c r="E48" s="2" t="inlineStr">
        <is>
          <t>http://www.circuitsolver.com</t>
        </is>
      </c>
      <c r="F48" s="2" t="n"/>
      <c r="G48" s="2" t="n"/>
      <c r="H48" s="2" t="n"/>
      <c r="I48" s="2" t="inlineStr">
        <is>
          <t>+1 877-379-8258</t>
        </is>
      </c>
      <c r="J48" s="2" t="n">
        <v>2</v>
      </c>
      <c r="K48" s="3">
        <f>IF(OR(H48&lt;&gt;"",I48&lt;&gt;""),"Yes","No")</f>
        <v/>
      </c>
      <c r="L48" s="4" t="inlineStr">
        <is>
          <t>New</t>
        </is>
      </c>
      <c r="M48" s="5" t="n"/>
      <c r="N48" s="2" t="inlineStr">
        <is>
          <t>Valve manufacturer (brand of ThermOmegaTech), not a contractor.</t>
        </is>
      </c>
      <c r="O48" s="2" t="inlineStr">
        <is>
          <t>apollo.io/organizations</t>
        </is>
      </c>
      <c r="P48" s="2" t="inlineStr">
        <is>
          <t>2026-09-19T17:30:01+00:00</t>
        </is>
      </c>
      <c r="Q48" s="2" t="inlineStr">
        <is>
          <t>5e559ec4e04e960001855c43</t>
        </is>
      </c>
    </row>
    <row r="49">
      <c r="A49" s="2" t="inlineStr">
        <is>
          <t>Pipeline Systems, Inc.</t>
        </is>
      </c>
      <c r="B49" s="2" t="inlineStr">
        <is>
          <t>pipeline construction, industrial construction, roofing, commercial construction</t>
        </is>
      </c>
      <c r="C49" s="2" t="inlineStr">
        <is>
          <t>Meadville</t>
        </is>
      </c>
      <c r="D49" s="2" t="inlineStr">
        <is>
          <t>PA</t>
        </is>
      </c>
      <c r="E49" s="2" t="inlineStr">
        <is>
          <t>http://www.thegildeagroup.com</t>
        </is>
      </c>
      <c r="F49" s="2" t="n"/>
      <c r="G49" s="2" t="n"/>
      <c r="H49" s="2" t="n"/>
      <c r="I49" s="2" t="inlineStr">
        <is>
          <t>+1 814-724-3029</t>
        </is>
      </c>
      <c r="J49" s="2" t="n">
        <v>30</v>
      </c>
      <c r="K49" s="3">
        <f>IF(OR(H49&lt;&gt;"",I49&lt;&gt;""),"Yes","No")</f>
        <v/>
      </c>
      <c r="L49" s="4" t="inlineStr">
        <is>
          <t>New</t>
        </is>
      </c>
      <c r="M49" s="5" t="n"/>
      <c r="N49" s="2" t="n"/>
      <c r="O49" s="2" t="inlineStr">
        <is>
          <t>apollo.io/organizations</t>
        </is>
      </c>
      <c r="P49" s="2" t="inlineStr">
        <is>
          <t>2026-09-19T17:30:01+00:00</t>
        </is>
      </c>
      <c r="Q49" s="2" t="inlineStr">
        <is>
          <t>5a9e6e05a6da98d9664553e2</t>
        </is>
      </c>
    </row>
    <row r="50">
      <c r="A50" s="2" t="inlineStr">
        <is>
          <t>Premier Remodeling Solutions</t>
        </is>
      </c>
      <c r="B50" s="2" t="inlineStr">
        <is>
          <t>remodeling, kitchen remodeling, painting, roofing, siding, hardscaping</t>
        </is>
      </c>
      <c r="C50" s="2" t="inlineStr">
        <is>
          <t>Pittsburgh</t>
        </is>
      </c>
      <c r="D50" s="2" t="inlineStr">
        <is>
          <t>PA</t>
        </is>
      </c>
      <c r="E50" s="2" t="inlineStr">
        <is>
          <t>http://www.pittsburghremodelingsolutions.com</t>
        </is>
      </c>
      <c r="F50" s="2" t="n"/>
      <c r="G50" s="2" t="n"/>
      <c r="H50" s="2" t="n"/>
      <c r="I50" s="2" t="inlineStr">
        <is>
          <t>+1 412-485-0550</t>
        </is>
      </c>
      <c r="J50" s="2" t="n">
        <v>2</v>
      </c>
      <c r="K50" s="3">
        <f>IF(OR(H50&lt;&gt;"",I50&lt;&gt;""),"Yes","No")</f>
        <v/>
      </c>
      <c r="L50" s="4" t="inlineStr">
        <is>
          <t>New</t>
        </is>
      </c>
      <c r="M50" s="5" t="n"/>
      <c r="N50" s="2" t="n"/>
      <c r="O50" s="2" t="inlineStr">
        <is>
          <t>apollo.io/organizations</t>
        </is>
      </c>
      <c r="P50" s="2" t="inlineStr">
        <is>
          <t>2026-09-19T17:30:01+00:00</t>
        </is>
      </c>
      <c r="Q50" s="2" t="inlineStr">
        <is>
          <t>5da61aa4d84d9e0001386a2e</t>
        </is>
      </c>
    </row>
    <row r="51">
      <c r="A51" s="2" t="inlineStr">
        <is>
          <t>Modern Maintenance Group</t>
        </is>
      </c>
      <c r="B51" s="2" t="inlineStr">
        <is>
          <t>landscaping, electrical, plumbing hvac, interior painting, asphalt maintenance</t>
        </is>
      </c>
      <c r="C51" s="2" t="inlineStr">
        <is>
          <t>Kingston</t>
        </is>
      </c>
      <c r="D51" s="2" t="inlineStr">
        <is>
          <t>PA</t>
        </is>
      </c>
      <c r="E51" s="2" t="inlineStr">
        <is>
          <t>http://www.mymodernmg.com</t>
        </is>
      </c>
      <c r="F51" s="2" t="n"/>
      <c r="G51" s="2" t="n"/>
      <c r="H51" s="2" t="n"/>
      <c r="I51" s="2" t="inlineStr">
        <is>
          <t>+1 610-257-7685</t>
        </is>
      </c>
      <c r="J51" s="2" t="n">
        <v>1</v>
      </c>
      <c r="K51" s="3">
        <f>IF(OR(H51&lt;&gt;"",I51&lt;&gt;""),"Yes","No")</f>
        <v/>
      </c>
      <c r="L51" s="4" t="inlineStr">
        <is>
          <t>New</t>
        </is>
      </c>
      <c r="M51" s="5" t="n"/>
      <c r="N51" s="2" t="n"/>
      <c r="O51" s="2" t="inlineStr">
        <is>
          <t>apollo.io/organizations</t>
        </is>
      </c>
      <c r="P51" s="2" t="inlineStr">
        <is>
          <t>2026-09-19T17:30:01+00:00</t>
        </is>
      </c>
      <c r="Q51" s="2" t="inlineStr">
        <is>
          <t>670b293e7d492300015414c5</t>
        </is>
      </c>
    </row>
    <row r="52">
      <c r="A52" s="2" t="inlineStr">
        <is>
          <t>The Long Barn, Inc.</t>
        </is>
      </c>
      <c r="B52" s="2" t="inlineStr">
        <is>
          <t>lumber plywood, roofing, siding, hvac, plumbing, building materials</t>
        </is>
      </c>
      <c r="C52" s="2" t="inlineStr">
        <is>
          <t>Ebensburg</t>
        </is>
      </c>
      <c r="D52" s="2" t="inlineStr">
        <is>
          <t>PA</t>
        </is>
      </c>
      <c r="E52" s="2" t="inlineStr">
        <is>
          <t>http://www.longbarninc.com</t>
        </is>
      </c>
      <c r="F52" s="2" t="n"/>
      <c r="G52" s="2" t="n"/>
      <c r="H52" s="2" t="n"/>
      <c r="I52" s="2" t="inlineStr">
        <is>
          <t>+1 814-472-9122</t>
        </is>
      </c>
      <c r="J52" s="2" t="n">
        <v>11</v>
      </c>
      <c r="K52" s="3">
        <f>IF(OR(H52&lt;&gt;"",I52&lt;&gt;""),"Yes","No")</f>
        <v/>
      </c>
      <c r="L52" s="4" t="inlineStr">
        <is>
          <t>New</t>
        </is>
      </c>
      <c r="M52" s="5" t="n"/>
      <c r="N52" s="2" t="inlineStr">
        <is>
          <t>Building-materials retailer, not primarily a contractor.</t>
        </is>
      </c>
      <c r="O52" s="2" t="inlineStr">
        <is>
          <t>apollo.io/organizations</t>
        </is>
      </c>
      <c r="P52" s="2" t="inlineStr">
        <is>
          <t>2026-09-19T17:30:01+00:00</t>
        </is>
      </c>
      <c r="Q52" s="2" t="inlineStr">
        <is>
          <t>5da4510d03c66e00011876be</t>
        </is>
      </c>
    </row>
    <row r="53">
      <c r="A53" s="2" t="inlineStr">
        <is>
          <t>Al Jamal - Design &amp; Build</t>
        </is>
      </c>
      <c r="B53" s="2" t="inlineStr">
        <is>
          <t>remodeling, painting, plumbing, electrical, design build</t>
        </is>
      </c>
      <c r="C53" s="2" t="inlineStr">
        <is>
          <t>Philadelphia</t>
        </is>
      </c>
      <c r="D53" s="2" t="inlineStr">
        <is>
          <t>PA</t>
        </is>
      </c>
      <c r="E53" s="2" t="inlineStr">
        <is>
          <t>http://www.aljamaldesign.com</t>
        </is>
      </c>
      <c r="F53" s="2" t="n"/>
      <c r="G53" s="2" t="n"/>
      <c r="H53" s="2" t="n"/>
      <c r="I53" s="2" t="inlineStr">
        <is>
          <t>+1 267-815-8645</t>
        </is>
      </c>
      <c r="J53" s="2" t="n">
        <v>9</v>
      </c>
      <c r="K53" s="3">
        <f>IF(OR(H53&lt;&gt;"",I53&lt;&gt;""),"Yes","No")</f>
        <v/>
      </c>
      <c r="L53" s="4" t="inlineStr">
        <is>
          <t>New</t>
        </is>
      </c>
      <c r="M53" s="5" t="n"/>
      <c r="N53" s="2" t="n"/>
      <c r="O53" s="2" t="inlineStr">
        <is>
          <t>apollo.io/organizations</t>
        </is>
      </c>
      <c r="P53" s="2" t="inlineStr">
        <is>
          <t>2026-09-19T17:30:01+00:00</t>
        </is>
      </c>
      <c r="Q53" s="2" t="inlineStr">
        <is>
          <t>56de9c76f3e5bb7076001141</t>
        </is>
      </c>
    </row>
    <row r="54">
      <c r="A54" s="2" t="inlineStr">
        <is>
          <t>Pennsylvania Aggregates and Concrete Association (PACA)</t>
        </is>
      </c>
      <c r="B54" s="2" t="inlineStr">
        <is>
          <t>industry associations, concrete certification, ready mixed concrete</t>
        </is>
      </c>
      <c r="C54" s="2" t="inlineStr">
        <is>
          <t>Harrisburg</t>
        </is>
      </c>
      <c r="D54" s="2" t="inlineStr">
        <is>
          <t>PA</t>
        </is>
      </c>
      <c r="E54" s="2" t="inlineStr">
        <is>
          <t>http://www.pacaweb.org</t>
        </is>
      </c>
      <c r="F54" s="2" t="n"/>
      <c r="G54" s="2" t="n"/>
      <c r="H54" s="2" t="n"/>
      <c r="I54" s="2" t="inlineStr">
        <is>
          <t>+1 717-234-2603</t>
        </is>
      </c>
      <c r="J54" s="2" t="n">
        <v>9</v>
      </c>
      <c r="K54" s="3">
        <f>IF(OR(H54&lt;&gt;"",I54&lt;&gt;""),"Yes","No")</f>
        <v/>
      </c>
      <c r="L54" s="4" t="inlineStr">
        <is>
          <t>New</t>
        </is>
      </c>
      <c r="M54" s="5" t="n"/>
      <c r="N54" s="2" t="inlineStr">
        <is>
          <t>Trade association, not a contractor.</t>
        </is>
      </c>
      <c r="O54" s="2" t="inlineStr">
        <is>
          <t>apollo.io/organizations</t>
        </is>
      </c>
      <c r="P54" s="2" t="inlineStr">
        <is>
          <t>2026-09-19T17:30:01+00:00</t>
        </is>
      </c>
      <c r="Q54" s="2" t="inlineStr">
        <is>
          <t>63c3b92eee04d800010feb2f</t>
        </is>
      </c>
    </row>
    <row r="55">
      <c r="A55" s="2" t="inlineStr">
        <is>
          <t>Choice Home Remodeling, Inc.</t>
        </is>
      </c>
      <c r="B55" s="2" t="inlineStr">
        <is>
          <t>remodeling, roofing, siding, kitchen remodeling, bathroom remodeling</t>
        </is>
      </c>
      <c r="C55" s="2" t="inlineStr">
        <is>
          <t>New Holland</t>
        </is>
      </c>
      <c r="D55" s="2" t="inlineStr">
        <is>
          <t>PA</t>
        </is>
      </c>
      <c r="E55" s="2" t="inlineStr">
        <is>
          <t>http://www.choicehomeremodeling.com</t>
        </is>
      </c>
      <c r="F55" s="2" t="n"/>
      <c r="G55" s="2" t="n"/>
      <c r="H55" s="2" t="n"/>
      <c r="I55" s="2" t="inlineStr">
        <is>
          <t>+1 717-354-2003</t>
        </is>
      </c>
      <c r="J55" s="2" t="n">
        <v>13</v>
      </c>
      <c r="K55" s="3">
        <f>IF(OR(H55&lt;&gt;"",I55&lt;&gt;""),"Yes","No")</f>
        <v/>
      </c>
      <c r="L55" s="4" t="inlineStr">
        <is>
          <t>New</t>
        </is>
      </c>
      <c r="M55" s="5" t="n"/>
      <c r="N55" s="2" t="n"/>
      <c r="O55" s="2" t="inlineStr">
        <is>
          <t>apollo.io/organizations</t>
        </is>
      </c>
      <c r="P55" s="2" t="inlineStr">
        <is>
          <t>2026-09-19T17:30:01+00:00</t>
        </is>
      </c>
      <c r="Q55" s="2" t="inlineStr">
        <is>
          <t>5e58e614a5b0780001f1d42f</t>
        </is>
      </c>
    </row>
    <row r="56">
      <c r="A56" s="2" t="inlineStr">
        <is>
          <t>Seifert Concrete</t>
        </is>
      </c>
      <c r="B56" s="2" t="inlineStr">
        <is>
          <t>concrete construction, foundations, flatwork, stamped concrete, excavation</t>
        </is>
      </c>
      <c r="C56" s="2" t="inlineStr">
        <is>
          <t>Dillsburg</t>
        </is>
      </c>
      <c r="D56" s="2" t="inlineStr">
        <is>
          <t>PA</t>
        </is>
      </c>
      <c r="E56" s="2" t="inlineStr">
        <is>
          <t>http://www.seifertconcrete.com</t>
        </is>
      </c>
      <c r="F56" s="2" t="n"/>
      <c r="G56" s="2" t="n"/>
      <c r="H56" s="2" t="n"/>
      <c r="I56" s="2" t="inlineStr">
        <is>
          <t>+1 717-432-5020</t>
        </is>
      </c>
      <c r="J56" s="2" t="n">
        <v>15</v>
      </c>
      <c r="K56" s="3">
        <f>IF(OR(H56&lt;&gt;"",I56&lt;&gt;""),"Yes","No")</f>
        <v/>
      </c>
      <c r="L56" s="4" t="inlineStr">
        <is>
          <t>New</t>
        </is>
      </c>
      <c r="M56" s="5" t="n"/>
      <c r="N56" s="2" t="n"/>
      <c r="O56" s="2" t="inlineStr">
        <is>
          <t>apollo.io/organizations</t>
        </is>
      </c>
      <c r="P56" s="2" t="inlineStr">
        <is>
          <t>2026-09-19T17:30:01+00:00</t>
        </is>
      </c>
      <c r="Q56" s="2" t="inlineStr">
        <is>
          <t>64164711385f42000186c58c</t>
        </is>
      </c>
    </row>
    <row r="57">
      <c r="A57" s="2" t="inlineStr">
        <is>
          <t>Angel Home Solutions</t>
        </is>
      </c>
      <c r="B57" s="2" t="inlineStr">
        <is>
          <t>flooring, painting, roofingsiding, electrical, concrete, remodeling</t>
        </is>
      </c>
      <c r="C57" s="2" t="inlineStr">
        <is>
          <t>Mechanicsburg</t>
        </is>
      </c>
      <c r="D57" s="2" t="inlineStr">
        <is>
          <t>PA</t>
        </is>
      </c>
      <c r="E57" s="2" t="inlineStr">
        <is>
          <t>http://www.angel-home-solutions.com</t>
        </is>
      </c>
      <c r="F57" s="2" t="n"/>
      <c r="G57" s="2" t="n"/>
      <c r="H57" s="2" t="n"/>
      <c r="I57" s="2" t="inlineStr">
        <is>
          <t>+1 717-620-8917</t>
        </is>
      </c>
      <c r="J57" s="2" t="n">
        <v>2</v>
      </c>
      <c r="K57" s="3">
        <f>IF(OR(H57&lt;&gt;"",I57&lt;&gt;""),"Yes","No")</f>
        <v/>
      </c>
      <c r="L57" s="4" t="inlineStr">
        <is>
          <t>New</t>
        </is>
      </c>
      <c r="M57" s="5" t="n"/>
      <c r="N57" s="2" t="n"/>
      <c r="O57" s="2" t="inlineStr">
        <is>
          <t>apollo.io/organizations</t>
        </is>
      </c>
      <c r="P57" s="2" t="inlineStr">
        <is>
          <t>2026-09-19T17:30:01+00:00</t>
        </is>
      </c>
      <c r="Q57" s="2" t="inlineStr">
        <is>
          <t>54a1b72b74686949e76d8f0a</t>
        </is>
      </c>
    </row>
    <row r="58">
      <c r="A58" s="2" t="inlineStr">
        <is>
          <t>Architectural Concrete Design</t>
        </is>
      </c>
      <c r="B58" s="2" t="inlineStr">
        <is>
          <t>stamped concrete, decorative concrete, concrete, landscaping</t>
        </is>
      </c>
      <c r="C58" s="2" t="inlineStr">
        <is>
          <t>Levittown</t>
        </is>
      </c>
      <c r="D58" s="2" t="inlineStr">
        <is>
          <t>PA</t>
        </is>
      </c>
      <c r="E58" s="2" t="inlineStr">
        <is>
          <t>http://www.acdconcrete.com</t>
        </is>
      </c>
      <c r="F58" s="2" t="n"/>
      <c r="G58" s="2" t="n"/>
      <c r="H58" s="2" t="n"/>
      <c r="I58" s="2" t="inlineStr">
        <is>
          <t>+1 215-946-5039</t>
        </is>
      </c>
      <c r="J58" s="2" t="n">
        <v>12</v>
      </c>
      <c r="K58" s="3">
        <f>IF(OR(H58&lt;&gt;"",I58&lt;&gt;""),"Yes","No")</f>
        <v/>
      </c>
      <c r="L58" s="4" t="inlineStr">
        <is>
          <t>New</t>
        </is>
      </c>
      <c r="M58" s="5" t="n"/>
      <c r="N58" s="2" t="n"/>
      <c r="O58" s="2" t="inlineStr">
        <is>
          <t>apollo.io/organizations</t>
        </is>
      </c>
      <c r="P58" s="2" t="inlineStr">
        <is>
          <t>2026-09-19T17:30:01+00:00</t>
        </is>
      </c>
      <c r="Q58" s="2" t="inlineStr">
        <is>
          <t>55699f177369642598ac6800</t>
        </is>
      </c>
    </row>
    <row r="59">
      <c r="A59" s="2" t="inlineStr">
        <is>
          <t>Joyland Roofing</t>
        </is>
      </c>
      <c r="B59" s="2" t="inlineStr">
        <is>
          <t>roofing contractor, siding contractor, metal roofing, roof repairs, seamless gutters</t>
        </is>
      </c>
      <c r="C59" s="2" t="inlineStr">
        <is>
          <t>Elizabethtown</t>
        </is>
      </c>
      <c r="D59" s="2" t="inlineStr">
        <is>
          <t>PA</t>
        </is>
      </c>
      <c r="E59" s="2" t="inlineStr">
        <is>
          <t>http://www.joylandroofing.com</t>
        </is>
      </c>
      <c r="F59" s="2" t="n"/>
      <c r="G59" s="2" t="n"/>
      <c r="H59" s="2" t="n"/>
      <c r="I59" s="2" t="inlineStr">
        <is>
          <t>+1 717-459-3499</t>
        </is>
      </c>
      <c r="J59" s="2" t="n">
        <v>28</v>
      </c>
      <c r="K59" s="3">
        <f>IF(OR(H59&lt;&gt;"",I59&lt;&gt;""),"Yes","No")</f>
        <v/>
      </c>
      <c r="L59" s="4" t="inlineStr">
        <is>
          <t>New</t>
        </is>
      </c>
      <c r="M59" s="5" t="n"/>
      <c r="N59" s="2" t="n"/>
      <c r="O59" s="2" t="inlineStr">
        <is>
          <t>apollo.io/organizations</t>
        </is>
      </c>
      <c r="P59" s="2" t="inlineStr">
        <is>
          <t>2026-09-19T17:30:01+00:00</t>
        </is>
      </c>
      <c r="Q59" s="2" t="inlineStr">
        <is>
          <t>5500cdc973696460f4427800</t>
        </is>
      </c>
    </row>
    <row r="60">
      <c r="A60" s="2" t="inlineStr">
        <is>
          <t>Just Grind it, LLC</t>
        </is>
      </c>
      <c r="B60" s="2" t="inlineStr">
        <is>
          <t>concrete grinding, concrete polishing, concrete restoration, epoxy prep</t>
        </is>
      </c>
      <c r="C60" s="2" t="inlineStr">
        <is>
          <t>Manchester</t>
        </is>
      </c>
      <c r="D60" s="2" t="inlineStr">
        <is>
          <t>PA</t>
        </is>
      </c>
      <c r="E60" s="2" t="inlineStr">
        <is>
          <t>http://www.justgrinditconcrete.com</t>
        </is>
      </c>
      <c r="F60" s="2" t="n"/>
      <c r="G60" s="2" t="n"/>
      <c r="H60" s="2" t="n"/>
      <c r="I60" s="2" t="inlineStr">
        <is>
          <t>+1 717-903-7569</t>
        </is>
      </c>
      <c r="J60" s="2" t="n">
        <v>6</v>
      </c>
      <c r="K60" s="3">
        <f>IF(OR(H60&lt;&gt;"",I60&lt;&gt;""),"Yes","No")</f>
        <v/>
      </c>
      <c r="L60" s="4" t="inlineStr">
        <is>
          <t>New</t>
        </is>
      </c>
      <c r="M60" s="5" t="n"/>
      <c r="N60" s="2" t="n"/>
      <c r="O60" s="2" t="inlineStr">
        <is>
          <t>apollo.io/organizations</t>
        </is>
      </c>
      <c r="P60" s="2" t="inlineStr">
        <is>
          <t>2026-09-19T17:30:01+00:00</t>
        </is>
      </c>
      <c r="Q60" s="2" t="inlineStr">
        <is>
          <t>5fc9cc7976b13600019d82f8</t>
        </is>
      </c>
    </row>
    <row r="61">
      <c r="A61" s="2" t="inlineStr">
        <is>
          <t>McClain Bros</t>
        </is>
      </c>
      <c r="B61" s="2" t="inlineStr">
        <is>
          <t>plumbing, heating, hvac, electrical, bathroom remodeling, drain cleaning</t>
        </is>
      </c>
      <c r="C61" s="2" t="inlineStr">
        <is>
          <t>Levittown</t>
        </is>
      </c>
      <c r="D61" s="2" t="inlineStr">
        <is>
          <t>PA</t>
        </is>
      </c>
      <c r="E61" s="2" t="inlineStr">
        <is>
          <t>http://www.mcclainbros.com</t>
        </is>
      </c>
      <c r="F61" s="2" t="n"/>
      <c r="G61" s="2" t="n"/>
      <c r="H61" s="2" t="n"/>
      <c r="I61" s="2" t="inlineStr">
        <is>
          <t>+1 215-788-0803</t>
        </is>
      </c>
      <c r="J61" s="2" t="n">
        <v>6</v>
      </c>
      <c r="K61" s="3">
        <f>IF(OR(H61&lt;&gt;"",I61&lt;&gt;""),"Yes","No")</f>
        <v/>
      </c>
      <c r="L61" s="4" t="inlineStr">
        <is>
          <t>New</t>
        </is>
      </c>
      <c r="M61" s="5" t="n"/>
      <c r="N61" s="2" t="n"/>
      <c r="O61" s="2" t="inlineStr">
        <is>
          <t>apollo.io/organizations</t>
        </is>
      </c>
      <c r="P61" s="2" t="inlineStr">
        <is>
          <t>2026-09-19T17:30:01+00:00</t>
        </is>
      </c>
      <c r="Q61" s="2" t="inlineStr">
        <is>
          <t>67991fc100c3d201b0dc6241</t>
        </is>
      </c>
    </row>
    <row r="62">
      <c r="A62" s="2" t="inlineStr">
        <is>
          <t>Cocalico Plumbing &amp; Heating</t>
        </is>
      </c>
      <c r="B62" s="2" t="inlineStr">
        <is>
          <t>hvac, plumbing, heating service, air conditioning service, geothermal</t>
        </is>
      </c>
      <c r="C62" s="2" t="inlineStr">
        <is>
          <t>Denver</t>
        </is>
      </c>
      <c r="D62" s="2" t="inlineStr">
        <is>
          <t>PA</t>
        </is>
      </c>
      <c r="E62" s="2" t="inlineStr">
        <is>
          <t>http://www.cocalicoph.com</t>
        </is>
      </c>
      <c r="F62" s="2" t="n"/>
      <c r="G62" s="2" t="n"/>
      <c r="H62" s="2" t="n"/>
      <c r="I62" s="2" t="inlineStr">
        <is>
          <t>+1 717-738-0760</t>
        </is>
      </c>
      <c r="J62" s="2" t="n">
        <v>6</v>
      </c>
      <c r="K62" s="3">
        <f>IF(OR(H62&lt;&gt;"",I62&lt;&gt;""),"Yes","No")</f>
        <v/>
      </c>
      <c r="L62" s="4" t="inlineStr">
        <is>
          <t>New</t>
        </is>
      </c>
      <c r="M62" s="5" t="n"/>
      <c r="N62" s="2" t="n"/>
      <c r="O62" s="2" t="inlineStr">
        <is>
          <t>apollo.io/organizations</t>
        </is>
      </c>
      <c r="P62" s="2" t="inlineStr">
        <is>
          <t>2026-09-19T17:30:01+00:00</t>
        </is>
      </c>
      <c r="Q62" s="2" t="inlineStr">
        <is>
          <t>54a1340c69702d2db4795200</t>
        </is>
      </c>
    </row>
    <row r="63">
      <c r="A63" s="2" t="inlineStr">
        <is>
          <t>Habitat Building</t>
        </is>
      </c>
      <c r="B63" s="2" t="inlineStr">
        <is>
          <t>remodeling, roofing siding, kitchens baths, custom homes, painting services, landscaping solutions</t>
        </is>
      </c>
      <c r="C63" s="2" t="inlineStr">
        <is>
          <t>Lehighton</t>
        </is>
      </c>
      <c r="D63" s="2" t="inlineStr">
        <is>
          <t>PA</t>
        </is>
      </c>
      <c r="E63" s="2" t="inlineStr">
        <is>
          <t>http://www.habitatbuilding.com</t>
        </is>
      </c>
      <c r="F63" s="2" t="n"/>
      <c r="G63" s="2" t="n"/>
      <c r="H63" s="2" t="n"/>
      <c r="I63" s="2" t="inlineStr">
        <is>
          <t>+1 570-409-3033</t>
        </is>
      </c>
      <c r="J63" s="2" t="n">
        <v>5</v>
      </c>
      <c r="K63" s="3">
        <f>IF(OR(H63&lt;&gt;"",I63&lt;&gt;""),"Yes","No")</f>
        <v/>
      </c>
      <c r="L63" s="4" t="inlineStr">
        <is>
          <t>New</t>
        </is>
      </c>
      <c r="M63" s="5" t="n"/>
      <c r="N63" s="2" t="n"/>
      <c r="O63" s="2" t="inlineStr">
        <is>
          <t>apollo.io/organizations</t>
        </is>
      </c>
      <c r="P63" s="2" t="inlineStr">
        <is>
          <t>2026-09-19T17:30:01+00:00</t>
        </is>
      </c>
      <c r="Q63" s="2" t="inlineStr">
        <is>
          <t>556d65eb736964122f1efe00</t>
        </is>
      </c>
    </row>
    <row r="64">
      <c r="A64" s="2" t="inlineStr">
        <is>
          <t>247 Home Remodeling</t>
        </is>
      </c>
      <c r="B64" s="2" t="inlineStr">
        <is>
          <t>metal roofing, asphalt roofing, siding, windows, remodeling, hvac</t>
        </is>
      </c>
      <c r="C64" s="2" t="inlineStr">
        <is>
          <t>Hickory</t>
        </is>
      </c>
      <c r="D64" s="2" t="inlineStr">
        <is>
          <t>PA</t>
        </is>
      </c>
      <c r="E64" s="2" t="inlineStr">
        <is>
          <t>http://www.247homeremodeling.com</t>
        </is>
      </c>
      <c r="F64" s="2" t="n"/>
      <c r="G64" s="2" t="n"/>
      <c r="H64" s="2" t="n"/>
      <c r="I64" s="2" t="inlineStr">
        <is>
          <t>+1 412-212-6444</t>
        </is>
      </c>
      <c r="J64" s="2" t="n">
        <v>4</v>
      </c>
      <c r="K64" s="3">
        <f>IF(OR(H64&lt;&gt;"",I64&lt;&gt;""),"Yes","No")</f>
        <v/>
      </c>
      <c r="L64" s="4" t="inlineStr">
        <is>
          <t>New</t>
        </is>
      </c>
      <c r="M64" s="5" t="n"/>
      <c r="N64" s="2" t="n"/>
      <c r="O64" s="2" t="inlineStr">
        <is>
          <t>apollo.io/organizations</t>
        </is>
      </c>
      <c r="P64" s="2" t="inlineStr">
        <is>
          <t>2026-09-19T17:30:01+00:00</t>
        </is>
      </c>
      <c r="Q64" s="2" t="inlineStr">
        <is>
          <t>6612993ae6ca0d0007d0673c</t>
        </is>
      </c>
    </row>
    <row r="65">
      <c r="A65" s="2" t="inlineStr">
        <is>
          <t>Two Dudes Painting Company</t>
        </is>
      </c>
      <c r="B65" s="2" t="inlineStr">
        <is>
          <t>commercial painting, residential painting, interior painting, exterior painting</t>
        </is>
      </c>
      <c r="C65" s="2" t="inlineStr">
        <is>
          <t>Lancaster</t>
        </is>
      </c>
      <c r="D65" s="2" t="inlineStr">
        <is>
          <t>PA</t>
        </is>
      </c>
      <c r="E65" s="2" t="inlineStr">
        <is>
          <t>http://www.twodudes.com</t>
        </is>
      </c>
      <c r="F65" s="2" t="n"/>
      <c r="G65" s="2" t="n"/>
      <c r="H65" s="2" t="n"/>
      <c r="I65" s="2" t="inlineStr">
        <is>
          <t>+1 717-396-1207</t>
        </is>
      </c>
      <c r="J65" s="2" t="n">
        <v>41</v>
      </c>
      <c r="K65" s="3">
        <f>IF(OR(H65&lt;&gt;"",I65&lt;&gt;""),"Yes","No")</f>
        <v/>
      </c>
      <c r="L65" s="4" t="inlineStr">
        <is>
          <t>New</t>
        </is>
      </c>
      <c r="M65" s="5" t="n"/>
      <c r="N65" s="2" t="n"/>
      <c r="O65" s="2" t="inlineStr">
        <is>
          <t>apollo.io/organizations</t>
        </is>
      </c>
      <c r="P65" s="2" t="inlineStr">
        <is>
          <t>2026-09-19T17:30:01+00:00</t>
        </is>
      </c>
      <c r="Q65" s="2" t="inlineStr">
        <is>
          <t>54a1392669702de5b3a11500</t>
        </is>
      </c>
    </row>
    <row r="66">
      <c r="A66" s="2" t="inlineStr">
        <is>
          <t>Chadwick Service Company</t>
        </is>
      </c>
      <c r="B66" s="2" t="inlineStr">
        <is>
          <t>hvac, commercial hvac, plumbing, refrigeration, boilers, chillers</t>
        </is>
      </c>
      <c r="C66" s="2" t="inlineStr">
        <is>
          <t>Bensalem</t>
        </is>
      </c>
      <c r="D66" s="2" t="inlineStr">
        <is>
          <t>PA</t>
        </is>
      </c>
      <c r="E66" s="2" t="inlineStr">
        <is>
          <t>http://www.chadwickservice.com</t>
        </is>
      </c>
      <c r="F66" s="2" t="n"/>
      <c r="G66" s="2" t="n"/>
      <c r="H66" s="2" t="n"/>
      <c r="I66" s="2" t="inlineStr">
        <is>
          <t>+1 215-245-8200</t>
        </is>
      </c>
      <c r="J66" s="2" t="n">
        <v>48</v>
      </c>
      <c r="K66" s="3">
        <f>IF(OR(H66&lt;&gt;"",I66&lt;&gt;""),"Yes","No")</f>
        <v/>
      </c>
      <c r="L66" s="4" t="inlineStr">
        <is>
          <t>New</t>
        </is>
      </c>
      <c r="M66" s="5" t="n"/>
      <c r="N66" s="2" t="n"/>
      <c r="O66" s="2" t="inlineStr">
        <is>
          <t>apollo.io/organizations</t>
        </is>
      </c>
      <c r="P66" s="2" t="inlineStr">
        <is>
          <t>2026-09-19T17:30:01+00:00</t>
        </is>
      </c>
      <c r="Q66" s="2" t="inlineStr">
        <is>
          <t>54a1353669702d48e2536e00</t>
        </is>
      </c>
    </row>
    <row r="67">
      <c r="A67" s="2" t="inlineStr">
        <is>
          <t>HighTec HVAC, Inc.</t>
        </is>
      </c>
      <c r="B67" s="2" t="inlineStr">
        <is>
          <t>commercial hvac, hvac installation, mechanical contractor, hvac service</t>
        </is>
      </c>
      <c r="C67" s="2" t="inlineStr">
        <is>
          <t>Southampton</t>
        </is>
      </c>
      <c r="D67" s="2" t="inlineStr">
        <is>
          <t>PA</t>
        </is>
      </c>
      <c r="E67" s="2" t="inlineStr">
        <is>
          <t>http://www.hightechvac.com</t>
        </is>
      </c>
      <c r="F67" s="2" t="n"/>
      <c r="G67" s="2" t="n"/>
      <c r="H67" s="2" t="n"/>
      <c r="I67" s="2" t="inlineStr">
        <is>
          <t>+1 215-396-8595</t>
        </is>
      </c>
      <c r="J67" s="2" t="n">
        <v>11</v>
      </c>
      <c r="K67" s="3">
        <f>IF(OR(H67&lt;&gt;"",I67&lt;&gt;""),"Yes","No")</f>
        <v/>
      </c>
      <c r="L67" s="4" t="inlineStr">
        <is>
          <t>New</t>
        </is>
      </c>
      <c r="M67" s="5" t="n"/>
      <c r="N67" s="2" t="n"/>
      <c r="O67" s="2" t="inlineStr">
        <is>
          <t>apollo.io/organizations</t>
        </is>
      </c>
      <c r="P67" s="2" t="inlineStr">
        <is>
          <t>2026-09-19T17:30:01+00:00</t>
        </is>
      </c>
      <c r="Q67" s="2" t="inlineStr">
        <is>
          <t>54a12a4b69702db648a6fb01</t>
        </is>
      </c>
    </row>
    <row r="68">
      <c r="A68" s="2" t="inlineStr">
        <is>
          <t>Heiler Painting</t>
        </is>
      </c>
      <c r="B68" s="2" t="inlineStr">
        <is>
          <t>interior painting, exterior painting, residential painting, carpentry services, drywall repair</t>
        </is>
      </c>
      <c r="C68" s="2" t="inlineStr">
        <is>
          <t>Media</t>
        </is>
      </c>
      <c r="D68" s="2" t="inlineStr">
        <is>
          <t>PA</t>
        </is>
      </c>
      <c r="E68" s="2" t="inlineStr">
        <is>
          <t>http://www.heilerpainting.com</t>
        </is>
      </c>
      <c r="F68" s="2" t="n"/>
      <c r="G68" s="2" t="n"/>
      <c r="H68" s="2" t="n"/>
      <c r="I68" s="2" t="inlineStr">
        <is>
          <t>+1 610-818-7920</t>
        </is>
      </c>
      <c r="J68" s="2" t="n">
        <v>22</v>
      </c>
      <c r="K68" s="3">
        <f>IF(OR(H68&lt;&gt;"",I68&lt;&gt;""),"Yes","No")</f>
        <v/>
      </c>
      <c r="L68" s="4" t="inlineStr">
        <is>
          <t>New</t>
        </is>
      </c>
      <c r="M68" s="5" t="n"/>
      <c r="N68" s="2" t="n"/>
      <c r="O68" s="2" t="inlineStr">
        <is>
          <t>apollo.io/organizations</t>
        </is>
      </c>
      <c r="P68" s="2" t="inlineStr">
        <is>
          <t>2026-09-19T17:30:01+00:00</t>
        </is>
      </c>
      <c r="Q68" s="2" t="inlineStr">
        <is>
          <t>5ef45bdd33527e0184a69242</t>
        </is>
      </c>
    </row>
    <row r="69">
      <c r="A69" s="2" t="inlineStr">
        <is>
          <t>Cherry Roofing and Siding</t>
        </is>
      </c>
      <c r="B69" s="2" t="inlineStr">
        <is>
          <t>roofing, vinyl siding, window installation, kitchen remodeling</t>
        </is>
      </c>
      <c r="C69" s="2" t="inlineStr">
        <is>
          <t>Bensalem</t>
        </is>
      </c>
      <c r="D69" s="2" t="inlineStr">
        <is>
          <t>PA</t>
        </is>
      </c>
      <c r="E69" s="2" t="inlineStr">
        <is>
          <t>http://www.cherryroofingandsiding.com</t>
        </is>
      </c>
      <c r="F69" s="2" t="n"/>
      <c r="G69" s="2" t="n"/>
      <c r="H69" s="2" t="n"/>
      <c r="I69" s="2" t="inlineStr">
        <is>
          <t>+1 856-347-8292</t>
        </is>
      </c>
      <c r="J69" s="2" t="n">
        <v>13</v>
      </c>
      <c r="K69" s="3">
        <f>IF(OR(H69&lt;&gt;"",I69&lt;&gt;""),"Yes","No")</f>
        <v/>
      </c>
      <c r="L69" s="4" t="inlineStr">
        <is>
          <t>New</t>
        </is>
      </c>
      <c r="M69" s="5" t="n"/>
      <c r="N69" s="2" t="inlineStr">
        <is>
          <t>Acquired by Victors Home Solutions (Dec 2024). Phone is a NJ 856 area code despite PA address.</t>
        </is>
      </c>
      <c r="O69" s="2" t="inlineStr">
        <is>
          <t>apollo.io/organizations</t>
        </is>
      </c>
      <c r="P69" s="2" t="inlineStr">
        <is>
          <t>2026-09-19T17:30:01+00:00</t>
        </is>
      </c>
      <c r="Q69" s="2" t="inlineStr">
        <is>
          <t>5e55e4cc46c72000019e6c31</t>
        </is>
      </c>
    </row>
    <row r="70">
      <c r="A70" s="2" t="inlineStr">
        <is>
          <t>Donnelly's Plumbing, Cooling &amp; Heating</t>
        </is>
      </c>
      <c r="B70" s="2" t="inlineStr">
        <is>
          <t>plumbing, heating, hvac, air conditioning, water treatment</t>
        </is>
      </c>
      <c r="C70" s="2" t="inlineStr">
        <is>
          <t>Lansdale</t>
        </is>
      </c>
      <c r="D70" s="2" t="inlineStr">
        <is>
          <t>PA</t>
        </is>
      </c>
      <c r="E70" s="2" t="inlineStr">
        <is>
          <t>http://www.4donnellys.com</t>
        </is>
      </c>
      <c r="F70" s="2" t="n"/>
      <c r="G70" s="2" t="n"/>
      <c r="H70" s="2" t="n"/>
      <c r="I70" s="2" t="inlineStr">
        <is>
          <t>+1 215-855-2014</t>
        </is>
      </c>
      <c r="J70" s="2" t="n">
        <v>31</v>
      </c>
      <c r="K70" s="3">
        <f>IF(OR(H70&lt;&gt;"",I70&lt;&gt;""),"Yes","No")</f>
        <v/>
      </c>
      <c r="L70" s="4" t="inlineStr">
        <is>
          <t>New</t>
        </is>
      </c>
      <c r="M70" s="5" t="n"/>
      <c r="N70" s="2" t="n"/>
      <c r="O70" s="2" t="inlineStr">
        <is>
          <t>apollo.io/organizations</t>
        </is>
      </c>
      <c r="P70" s="2" t="inlineStr">
        <is>
          <t>2026-09-19T17:30:01+00:00</t>
        </is>
      </c>
      <c r="Q70" s="2" t="inlineStr">
        <is>
          <t>5d09a775a3ae619a7ab0eb91</t>
        </is>
      </c>
    </row>
    <row r="71">
      <c r="A71" s="2" t="inlineStr">
        <is>
          <t>Marciano Contracting Services, LLC</t>
        </is>
      </c>
      <c r="B71" s="2" t="inlineStr">
        <is>
          <t>interior renovations, landscaping, hardscaping, roofing services, plumbing services, remodeling</t>
        </is>
      </c>
      <c r="C71" s="2" t="inlineStr">
        <is>
          <t>Pittsburgh</t>
        </is>
      </c>
      <c r="D71" s="2" t="inlineStr">
        <is>
          <t>PA</t>
        </is>
      </c>
      <c r="E71" s="2" t="inlineStr">
        <is>
          <t>http://www.marcianocontracting.com</t>
        </is>
      </c>
      <c r="F71" s="2" t="n"/>
      <c r="G71" s="2" t="n"/>
      <c r="H71" s="2" t="n"/>
      <c r="I71" s="2" t="inlineStr">
        <is>
          <t>+1 412-440-8321</t>
        </is>
      </c>
      <c r="J71" s="2" t="n">
        <v>2</v>
      </c>
      <c r="K71" s="3">
        <f>IF(OR(H71&lt;&gt;"",I71&lt;&gt;""),"Yes","No")</f>
        <v/>
      </c>
      <c r="L71" s="4" t="inlineStr">
        <is>
          <t>New</t>
        </is>
      </c>
      <c r="M71" s="5" t="n"/>
      <c r="N71" s="2" t="n"/>
      <c r="O71" s="2" t="inlineStr">
        <is>
          <t>apollo.io/organizations</t>
        </is>
      </c>
      <c r="P71" s="2" t="inlineStr">
        <is>
          <t>2026-09-19T17:30:01+00:00</t>
        </is>
      </c>
      <c r="Q71" s="2" t="inlineStr">
        <is>
          <t>66e7d882edbc350001d96b05</t>
        </is>
      </c>
    </row>
    <row r="72">
      <c r="A72" s="2" t="inlineStr">
        <is>
          <t>Dream Team Plumbing Electric Heating Cooling</t>
        </is>
      </c>
      <c r="B72" s="2" t="inlineStr">
        <is>
          <t>plumbing, electric, heating, cooling, hvac, drain cleaning</t>
        </is>
      </c>
      <c r="C72" s="2" t="inlineStr">
        <is>
          <t>Media</t>
        </is>
      </c>
      <c r="D72" s="2" t="inlineStr">
        <is>
          <t>PA</t>
        </is>
      </c>
      <c r="E72" s="2" t="inlineStr">
        <is>
          <t>http://www.dreamteampa.com</t>
        </is>
      </c>
      <c r="F72" s="2" t="n"/>
      <c r="G72" s="2" t="n"/>
      <c r="H72" s="2" t="n"/>
      <c r="I72" s="2" t="inlineStr">
        <is>
          <t>+1 610-609-7771</t>
        </is>
      </c>
      <c r="J72" s="2" t="n">
        <v>12</v>
      </c>
      <c r="K72" s="3">
        <f>IF(OR(H72&lt;&gt;"",I72&lt;&gt;""),"Yes","No")</f>
        <v/>
      </c>
      <c r="L72" s="4" t="inlineStr">
        <is>
          <t>New</t>
        </is>
      </c>
      <c r="M72" s="5" t="n"/>
      <c r="N72" s="2" t="n"/>
      <c r="O72" s="2" t="inlineStr">
        <is>
          <t>apollo.io/organizations</t>
        </is>
      </c>
      <c r="P72" s="2" t="inlineStr">
        <is>
          <t>2026-09-19T17:30:01+00:00</t>
        </is>
      </c>
      <c r="Q72" s="2" t="inlineStr">
        <is>
          <t>5e79cc88d02d2900c2e8bb64</t>
        </is>
      </c>
    </row>
    <row r="73">
      <c r="A73" s="2" t="inlineStr">
        <is>
          <t>Kenneth Clark Painting LLC</t>
        </is>
      </c>
      <c r="B73" s="2" t="inlineStr">
        <is>
          <t>residential painting, commercial painting, interior painting, exterior painting, power washing</t>
        </is>
      </c>
      <c r="C73" s="2" t="inlineStr">
        <is>
          <t>Broomall</t>
        </is>
      </c>
      <c r="D73" s="2" t="inlineStr">
        <is>
          <t>PA</t>
        </is>
      </c>
      <c r="E73" s="2" t="inlineStr">
        <is>
          <t>http://www.kennethclarkpainting.com</t>
        </is>
      </c>
      <c r="F73" s="2" t="n"/>
      <c r="G73" s="2" t="n"/>
      <c r="H73" s="2" t="n"/>
      <c r="I73" s="2" t="inlineStr">
        <is>
          <t>+1 610-348-3497</t>
        </is>
      </c>
      <c r="J73" s="2" t="n">
        <v>2</v>
      </c>
      <c r="K73" s="3">
        <f>IF(OR(H73&lt;&gt;"",I73&lt;&gt;""),"Yes","No")</f>
        <v/>
      </c>
      <c r="L73" s="4" t="inlineStr">
        <is>
          <t>New</t>
        </is>
      </c>
      <c r="M73" s="5" t="n"/>
      <c r="N73" s="2" t="n"/>
      <c r="O73" s="2" t="inlineStr">
        <is>
          <t>apollo.io/organizations</t>
        </is>
      </c>
      <c r="P73" s="2" t="inlineStr">
        <is>
          <t>2026-09-19T17:30:01+00:00</t>
        </is>
      </c>
      <c r="Q73" s="2" t="inlineStr">
        <is>
          <t>5da3a36d04829100014f82c3</t>
        </is>
      </c>
    </row>
    <row r="74">
      <c r="A74" s="2" t="inlineStr">
        <is>
          <t>Escajeda Masonry &amp; Concrete</t>
        </is>
      </c>
      <c r="B74" s="2" t="inlineStr">
        <is>
          <t>masonry restoration, brickwork, concrete work, chimney rebuilding, retaining walls</t>
        </is>
      </c>
      <c r="C74" s="2" t="inlineStr">
        <is>
          <t>Pittsburgh</t>
        </is>
      </c>
      <c r="D74" s="2" t="inlineStr">
        <is>
          <t>PA</t>
        </is>
      </c>
      <c r="E74" s="2" t="inlineStr">
        <is>
          <t>http://www.escajedamasonry.com</t>
        </is>
      </c>
      <c r="F74" s="2" t="n"/>
      <c r="G74" s="2" t="n"/>
      <c r="H74" s="2" t="n"/>
      <c r="I74" s="2" t="inlineStr">
        <is>
          <t>+1 412-760-4621</t>
        </is>
      </c>
      <c r="J74" s="2" t="n">
        <v>11</v>
      </c>
      <c r="K74" s="3">
        <f>IF(OR(H74&lt;&gt;"",I74&lt;&gt;""),"Yes","No")</f>
        <v/>
      </c>
      <c r="L74" s="4" t="inlineStr">
        <is>
          <t>New</t>
        </is>
      </c>
      <c r="M74" s="5" t="n"/>
      <c r="N74" s="2" t="n"/>
      <c r="O74" s="2" t="inlineStr">
        <is>
          <t>apollo.io/organizations</t>
        </is>
      </c>
      <c r="P74" s="2" t="inlineStr">
        <is>
          <t>2026-09-19T17:30:01+00:00</t>
        </is>
      </c>
      <c r="Q74" s="2" t="inlineStr">
        <is>
          <t>61eb850584da410001ca3aa9</t>
        </is>
      </c>
    </row>
    <row r="75">
      <c r="A75" s="2" t="inlineStr">
        <is>
          <t>Earl Weaver Contractors LLC</t>
        </is>
      </c>
      <c r="B75" s="2" t="inlineStr">
        <is>
          <t>new home construction, remodeling, hvac, plumbing, painting, concrete</t>
        </is>
      </c>
      <c r="C75" s="2" t="inlineStr">
        <is>
          <t>Lebanon</t>
        </is>
      </c>
      <c r="D75" s="2" t="inlineStr">
        <is>
          <t>PA</t>
        </is>
      </c>
      <c r="E75" s="2" t="inlineStr">
        <is>
          <t>http://www.earlweaver.com</t>
        </is>
      </c>
      <c r="F75" s="2" t="n"/>
      <c r="G75" s="2" t="n"/>
      <c r="H75" s="2" t="n"/>
      <c r="I75" s="2" t="inlineStr">
        <is>
          <t>+1 717-821-1010</t>
        </is>
      </c>
      <c r="J75" s="2" t="n">
        <v>2</v>
      </c>
      <c r="K75" s="3">
        <f>IF(OR(H75&lt;&gt;"",I75&lt;&gt;""),"Yes","No")</f>
        <v/>
      </c>
      <c r="L75" s="4" t="inlineStr">
        <is>
          <t>New</t>
        </is>
      </c>
      <c r="M75" s="5" t="n"/>
      <c r="N75" s="2" t="n"/>
      <c r="O75" s="2" t="inlineStr">
        <is>
          <t>apollo.io/organizations</t>
        </is>
      </c>
      <c r="P75" s="2" t="inlineStr">
        <is>
          <t>2026-09-19T17:30:01+00:00</t>
        </is>
      </c>
      <c r="Q75" s="2" t="inlineStr">
        <is>
          <t>55e7ea2bf3e5bb1b070003ae</t>
        </is>
      </c>
    </row>
    <row r="76">
      <c r="A76" s="2" t="inlineStr">
        <is>
          <t>O'Donnell Roofing Co</t>
        </is>
      </c>
      <c r="B76" s="2" t="inlineStr">
        <is>
          <t>roofing, commercial roofing, siding, gutters, metal roofing, skylights</t>
        </is>
      </c>
      <c r="C76" s="2" t="inlineStr">
        <is>
          <t>Berwyn</t>
        </is>
      </c>
      <c r="D76" s="2" t="inlineStr">
        <is>
          <t>PA</t>
        </is>
      </c>
      <c r="E76" s="2" t="inlineStr">
        <is>
          <t>http://www.odonnellroofingco.com</t>
        </is>
      </c>
      <c r="F76" s="2" t="n"/>
      <c r="G76" s="2" t="n"/>
      <c r="H76" s="2" t="n"/>
      <c r="I76" s="2" t="inlineStr">
        <is>
          <t>+1 610-449-8188</t>
        </is>
      </c>
      <c r="J76" s="2" t="n">
        <v>13</v>
      </c>
      <c r="K76" s="3">
        <f>IF(OR(H76&lt;&gt;"",I76&lt;&gt;""),"Yes","No")</f>
        <v/>
      </c>
      <c r="L76" s="4" t="inlineStr">
        <is>
          <t>New</t>
        </is>
      </c>
      <c r="M76" s="5" t="n"/>
      <c r="N76" s="2" t="n"/>
      <c r="O76" s="2" t="inlineStr">
        <is>
          <t>apollo.io/organizations</t>
        </is>
      </c>
      <c r="P76" s="2" t="inlineStr">
        <is>
          <t>2026-09-19T17:30:01+00:00</t>
        </is>
      </c>
      <c r="Q76" s="2" t="inlineStr">
        <is>
          <t>6727d6f489fe3607d3244c13</t>
        </is>
      </c>
    </row>
    <row r="77">
      <c r="A77" s="2" t="inlineStr">
        <is>
          <t>RYAN AMATO PAINTING LLC</t>
        </is>
      </c>
      <c r="B77" s="2" t="inlineStr">
        <is>
          <t>painting, exterior painting, interior painting, epoxy flooring, cabinet refinishing</t>
        </is>
      </c>
      <c r="C77" s="2" t="inlineStr">
        <is>
          <t>Easton</t>
        </is>
      </c>
      <c r="D77" s="2" t="inlineStr">
        <is>
          <t>PA</t>
        </is>
      </c>
      <c r="E77" s="2" t="inlineStr">
        <is>
          <t>http://www.ryanamatopainting.com</t>
        </is>
      </c>
      <c r="F77" s="2" t="n"/>
      <c r="G77" s="2" t="n"/>
      <c r="H77" s="2" t="n"/>
      <c r="I77" s="2" t="inlineStr">
        <is>
          <t>+1 484-821-7112</t>
        </is>
      </c>
      <c r="J77" s="2" t="n">
        <v>15</v>
      </c>
      <c r="K77" s="3">
        <f>IF(OR(H77&lt;&gt;"",I77&lt;&gt;""),"Yes","No")</f>
        <v/>
      </c>
      <c r="L77" s="4" t="inlineStr">
        <is>
          <t>New</t>
        </is>
      </c>
      <c r="M77" s="5" t="n"/>
      <c r="N77" s="2" t="n"/>
      <c r="O77" s="2" t="inlineStr">
        <is>
          <t>apollo.io/organizations</t>
        </is>
      </c>
      <c r="P77" s="2" t="inlineStr">
        <is>
          <t>2026-09-19T17:30:01+00:00</t>
        </is>
      </c>
      <c r="Q77" s="2" t="inlineStr">
        <is>
          <t>5f4152d9b3305e00013404db</t>
        </is>
      </c>
    </row>
    <row r="78">
      <c r="A78" s="2" t="inlineStr">
        <is>
          <t>Guaranteed Plumbing</t>
        </is>
      </c>
      <c r="B78" s="2" t="inlineStr">
        <is>
          <t>heating, plumbing, air conditioning, drain cleaning, bathroom remodel</t>
        </is>
      </c>
      <c r="C78" s="2" t="inlineStr">
        <is>
          <t>Philadelphia</t>
        </is>
      </c>
      <c r="D78" s="2" t="inlineStr">
        <is>
          <t>PA</t>
        </is>
      </c>
      <c r="E78" s="2" t="inlineStr">
        <is>
          <t>http://www.guaranteedplumbingandheating.com</t>
        </is>
      </c>
      <c r="F78" s="2" t="n"/>
      <c r="G78" s="2" t="n"/>
      <c r="H78" s="2" t="n"/>
      <c r="I78" s="2" t="inlineStr">
        <is>
          <t>+1 215-240-8610</t>
        </is>
      </c>
      <c r="J78" s="2" t="n">
        <v>33</v>
      </c>
      <c r="K78" s="3">
        <f>IF(OR(H78&lt;&gt;"",I78&lt;&gt;""),"Yes","No")</f>
        <v/>
      </c>
      <c r="L78" s="4" t="inlineStr">
        <is>
          <t>New</t>
        </is>
      </c>
      <c r="M78" s="5" t="n"/>
      <c r="N78" s="2" t="n"/>
      <c r="O78" s="2" t="inlineStr">
        <is>
          <t>apollo.io/organizations</t>
        </is>
      </c>
      <c r="P78" s="2" t="inlineStr">
        <is>
          <t>2026-09-19T17:30:01+00:00</t>
        </is>
      </c>
      <c r="Q78" s="2" t="inlineStr">
        <is>
          <t>54a1a5cf7468694012b79104</t>
        </is>
      </c>
    </row>
    <row r="79">
      <c r="A79" s="2" t="inlineStr">
        <is>
          <t>Galaxy Roofing</t>
        </is>
      </c>
      <c r="B79" s="2" t="inlineStr">
        <is>
          <t>roofing, siding, gutters, metal roofing, flat roofing</t>
        </is>
      </c>
      <c r="C79" s="2" t="inlineStr">
        <is>
          <t>Mountville</t>
        </is>
      </c>
      <c r="D79" s="2" t="inlineStr">
        <is>
          <t>PA</t>
        </is>
      </c>
      <c r="E79" s="2" t="inlineStr">
        <is>
          <t>http://www.galaxy-roofing.com</t>
        </is>
      </c>
      <c r="F79" s="2" t="n"/>
      <c r="G79" s="2" t="n"/>
      <c r="H79" s="2" t="n"/>
      <c r="I79" s="2" t="inlineStr">
        <is>
          <t>+1 888-602-1585</t>
        </is>
      </c>
      <c r="J79" s="2" t="n">
        <v>14</v>
      </c>
      <c r="K79" s="3">
        <f>IF(OR(H79&lt;&gt;"",I79&lt;&gt;""),"Yes","No")</f>
        <v/>
      </c>
      <c r="L79" s="4" t="inlineStr">
        <is>
          <t>New</t>
        </is>
      </c>
      <c r="M79" s="5" t="n"/>
      <c r="N79" s="2" t="inlineStr">
        <is>
          <t>Apollo keyword list is polluted with unrelated e-commerce/Lazada terms.</t>
        </is>
      </c>
      <c r="O79" s="2" t="inlineStr">
        <is>
          <t>apollo.io/organizations</t>
        </is>
      </c>
      <c r="P79" s="2" t="inlineStr">
        <is>
          <t>2026-09-19T17:30:01+00:00</t>
        </is>
      </c>
      <c r="Q79" s="2" t="inlineStr">
        <is>
          <t>5da65c46e03360000162126d</t>
        </is>
      </c>
    </row>
    <row r="80">
      <c r="A80" s="2" t="inlineStr">
        <is>
          <t>Commercial Roofing Solutions</t>
        </is>
      </c>
      <c r="B80" s="2" t="inlineStr">
        <is>
          <t>commercial roofing, roofing materials, epdm, tpo</t>
        </is>
      </c>
      <c r="C80" s="2" t="inlineStr">
        <is>
          <t>Brookhaven</t>
        </is>
      </c>
      <c r="D80" s="2" t="inlineStr">
        <is>
          <t>PA</t>
        </is>
      </c>
      <c r="E80" s="2" t="inlineStr">
        <is>
          <t>http://www.crsreps.com</t>
        </is>
      </c>
      <c r="F80" s="2" t="n"/>
      <c r="G80" s="2" t="n"/>
      <c r="H80" s="2" t="n"/>
      <c r="I80" s="2" t="inlineStr">
        <is>
          <t>+1 610-874-2673</t>
        </is>
      </c>
      <c r="J80" s="2" t="n">
        <v>18</v>
      </c>
      <c r="K80" s="3">
        <f>IF(OR(H80&lt;&gt;"",I80&lt;&gt;""),"Yes","No")</f>
        <v/>
      </c>
      <c r="L80" s="4" t="inlineStr">
        <is>
          <t>New</t>
        </is>
      </c>
      <c r="M80" s="5" t="n"/>
      <c r="N80" s="2" t="inlineStr">
        <is>
          <t>Manufacturer's rep firm, not a roofing contractor.</t>
        </is>
      </c>
      <c r="O80" s="2" t="inlineStr">
        <is>
          <t>apollo.io/organizations</t>
        </is>
      </c>
      <c r="P80" s="2" t="inlineStr">
        <is>
          <t>2026-09-19T17:30:01+00:00</t>
        </is>
      </c>
      <c r="Q80" s="2" t="inlineStr">
        <is>
          <t>54a1abc2746869586066a106</t>
        </is>
      </c>
    </row>
    <row r="81">
      <c r="A81" s="2" t="inlineStr">
        <is>
          <t>C3 Roofing &amp; Remodeling Inc.</t>
        </is>
      </c>
      <c r="B81" s="2" t="inlineStr">
        <is>
          <t>roofing, siding, gutter systems, windows, remodeling</t>
        </is>
      </c>
      <c r="C81" s="2" t="inlineStr">
        <is>
          <t>Hanover</t>
        </is>
      </c>
      <c r="D81" s="2" t="inlineStr">
        <is>
          <t>PA</t>
        </is>
      </c>
      <c r="E81" s="2" t="inlineStr">
        <is>
          <t>http://www.cr3america.com</t>
        </is>
      </c>
      <c r="F81" s="2" t="n"/>
      <c r="G81" s="2" t="n"/>
      <c r="H81" s="2" t="n"/>
      <c r="I81" s="2" t="inlineStr">
        <is>
          <t>+1 717-905-0223</t>
        </is>
      </c>
      <c r="J81" s="2" t="n">
        <v>7</v>
      </c>
      <c r="K81" s="3">
        <f>IF(OR(H81&lt;&gt;"",I81&lt;&gt;""),"Yes","No")</f>
        <v/>
      </c>
      <c r="L81" s="4" t="inlineStr">
        <is>
          <t>New</t>
        </is>
      </c>
      <c r="M81" s="5" t="n"/>
      <c r="N81" s="2" t="n"/>
      <c r="O81" s="2" t="inlineStr">
        <is>
          <t>apollo.io/organizations</t>
        </is>
      </c>
      <c r="P81" s="2" t="inlineStr">
        <is>
          <t>2026-09-19T17:30:01+00:00</t>
        </is>
      </c>
      <c r="Q81" s="2" t="inlineStr">
        <is>
          <t>5e56be869f95ad0001367773</t>
        </is>
      </c>
    </row>
    <row r="82">
      <c r="A82" s="2" t="inlineStr">
        <is>
          <t>Nauman Inc</t>
        </is>
      </c>
      <c r="B82" s="2" t="inlineStr">
        <is>
          <t>roofing, plumbing, heating cooling, hvac, general contracting</t>
        </is>
      </c>
      <c r="C82" s="2" t="inlineStr">
        <is>
          <t>East Stroudsburg</t>
        </is>
      </c>
      <c r="D82" s="2" t="inlineStr">
        <is>
          <t>PA</t>
        </is>
      </c>
      <c r="E82" s="2" t="inlineStr">
        <is>
          <t>http://www.naumaninc.com</t>
        </is>
      </c>
      <c r="F82" s="2" t="n"/>
      <c r="G82" s="2" t="n"/>
      <c r="H82" s="2" t="n"/>
      <c r="I82" s="2" t="inlineStr">
        <is>
          <t>+1 570-476-7515</t>
        </is>
      </c>
      <c r="J82" s="2" t="n">
        <v>18</v>
      </c>
      <c r="K82" s="3">
        <f>IF(OR(H82&lt;&gt;"",I82&lt;&gt;""),"Yes","No")</f>
        <v/>
      </c>
      <c r="L82" s="4" t="inlineStr">
        <is>
          <t>New</t>
        </is>
      </c>
      <c r="M82" s="5" t="n"/>
      <c r="N82" s="2" t="n"/>
      <c r="O82" s="2" t="inlineStr">
        <is>
          <t>apollo.io/organizations</t>
        </is>
      </c>
      <c r="P82" s="2" t="inlineStr">
        <is>
          <t>2026-09-19T17:30:01+00:00</t>
        </is>
      </c>
      <c r="Q82" s="2" t="inlineStr">
        <is>
          <t>5b87022e324d445cc0323c57</t>
        </is>
      </c>
    </row>
    <row r="83">
      <c r="A83" s="2" t="inlineStr">
        <is>
          <t>Verilok Property Preservation LLC</t>
        </is>
      </c>
      <c r="B83" s="2" t="inlineStr">
        <is>
          <t>electrical, plumbing, general contracting, landscaping, property preservation</t>
        </is>
      </c>
      <c r="C83" s="2" t="n"/>
      <c r="D83" s="2" t="inlineStr">
        <is>
          <t>PA</t>
        </is>
      </c>
      <c r="E83" s="2" t="inlineStr">
        <is>
          <t>http://www.verilok.com</t>
        </is>
      </c>
      <c r="F83" s="2" t="n"/>
      <c r="G83" s="2" t="n"/>
      <c r="H83" s="2" t="n"/>
      <c r="I83" s="2" t="inlineStr">
        <is>
          <t>+1 267-664-9457</t>
        </is>
      </c>
      <c r="J83" s="2" t="n">
        <v>1</v>
      </c>
      <c r="K83" s="3">
        <f>IF(OR(H83&lt;&gt;"",I83&lt;&gt;""),"Yes","No")</f>
        <v/>
      </c>
      <c r="L83" s="4" t="inlineStr">
        <is>
          <t>New</t>
        </is>
      </c>
      <c r="M83" s="5" t="n"/>
      <c r="N83" s="2" t="n"/>
      <c r="O83" s="2" t="inlineStr">
        <is>
          <t>apollo.io/organizations</t>
        </is>
      </c>
      <c r="P83" s="2" t="inlineStr">
        <is>
          <t>2026-09-19T17:30:01+00:00</t>
        </is>
      </c>
      <c r="Q83" s="2" t="inlineStr">
        <is>
          <t>5da39bd6dabf880001b3a966</t>
        </is>
      </c>
    </row>
    <row r="84">
      <c r="A84" s="2" t="inlineStr">
        <is>
          <t>Protecall, LLC</t>
        </is>
      </c>
      <c r="B84" s="2" t="inlineStr">
        <is>
          <t>hvac, coatings, air quality, corrosion protection</t>
        </is>
      </c>
      <c r="C84" s="2" t="inlineStr">
        <is>
          <t>Scott Township</t>
        </is>
      </c>
      <c r="D84" s="2" t="inlineStr">
        <is>
          <t>PA</t>
        </is>
      </c>
      <c r="E84" s="2" t="inlineStr">
        <is>
          <t>http://www.protecall.com</t>
        </is>
      </c>
      <c r="F84" s="2" t="n"/>
      <c r="G84" s="2" t="n"/>
      <c r="H84" s="2" t="n"/>
      <c r="I84" s="2" t="inlineStr">
        <is>
          <t>+1 888-345-8378</t>
        </is>
      </c>
      <c r="J84" s="2" t="n">
        <v>30</v>
      </c>
      <c r="K84" s="3">
        <f>IF(OR(H84&lt;&gt;"",I84&lt;&gt;""),"Yes","No")</f>
        <v/>
      </c>
      <c r="L84" s="4" t="inlineStr">
        <is>
          <t>New</t>
        </is>
      </c>
      <c r="M84" s="5" t="n"/>
      <c r="N84" s="2" t="inlineStr">
        <is>
          <t>HVAC coatings specialist; acquired by Nationwide Cooling Group (Mar 2026).</t>
        </is>
      </c>
      <c r="O84" s="2" t="inlineStr">
        <is>
          <t>apollo.io/organizations</t>
        </is>
      </c>
      <c r="P84" s="2" t="inlineStr">
        <is>
          <t>2026-09-19T17:30:01+00:00</t>
        </is>
      </c>
      <c r="Q84" s="2" t="inlineStr">
        <is>
          <t>5ed341e3f2ab0d00011079ca</t>
        </is>
      </c>
    </row>
    <row r="85">
      <c r="A85" s="2" t="inlineStr">
        <is>
          <t>Amerail Systems Hotel Renovations</t>
        </is>
      </c>
      <c r="B85" s="2" t="inlineStr">
        <is>
          <t>general contractor, hotel exterior renovation, painting, waterproofing, windows</t>
        </is>
      </c>
      <c r="C85" s="2" t="inlineStr">
        <is>
          <t>Erie</t>
        </is>
      </c>
      <c r="D85" s="2" t="inlineStr">
        <is>
          <t>PA</t>
        </is>
      </c>
      <c r="E85" s="2" t="inlineStr">
        <is>
          <t>http://www.amerailsys.com</t>
        </is>
      </c>
      <c r="F85" s="2" t="n"/>
      <c r="G85" s="2" t="n"/>
      <c r="H85" s="2" t="n"/>
      <c r="I85" s="2" t="inlineStr">
        <is>
          <t>+1 800-451-8221</t>
        </is>
      </c>
      <c r="J85" s="2" t="n">
        <v>27</v>
      </c>
      <c r="K85" s="3">
        <f>IF(OR(H85&lt;&gt;"",I85&lt;&gt;""),"Yes","No")</f>
        <v/>
      </c>
      <c r="L85" s="4" t="inlineStr">
        <is>
          <t>New</t>
        </is>
      </c>
      <c r="M85" s="5" t="n"/>
      <c r="N85" s="2" t="n"/>
      <c r="O85" s="2" t="inlineStr">
        <is>
          <t>apollo.io/organizations</t>
        </is>
      </c>
      <c r="P85" s="2" t="inlineStr">
        <is>
          <t>2026-09-19T17:30:01+00:00</t>
        </is>
      </c>
      <c r="Q85" s="2" t="inlineStr">
        <is>
          <t>5e5606e3e36a770001bec1fe</t>
        </is>
      </c>
    </row>
    <row r="86">
      <c r="A86" s="2" t="inlineStr">
        <is>
          <t>BSEG, LLC</t>
        </is>
      </c>
      <c r="B86" s="2" t="inlineStr">
        <is>
          <t>hvac, electrical power systems, plumbing, fire protection, engineering</t>
        </is>
      </c>
      <c r="C86" s="2" t="inlineStr">
        <is>
          <t>Allentown</t>
        </is>
      </c>
      <c r="D86" s="2" t="inlineStr">
        <is>
          <t>PA</t>
        </is>
      </c>
      <c r="E86" s="2" t="inlineStr">
        <is>
          <t>http://www.bseg-ce.com</t>
        </is>
      </c>
      <c r="F86" s="2" t="n"/>
      <c r="G86" s="2" t="n"/>
      <c r="H86" s="2" t="n"/>
      <c r="I86" s="2" t="inlineStr">
        <is>
          <t>+1 610-351-8225</t>
        </is>
      </c>
      <c r="J86" s="2" t="n">
        <v>23</v>
      </c>
      <c r="K86" s="3">
        <f>IF(OR(H86&lt;&gt;"",I86&lt;&gt;""),"Yes","No")</f>
        <v/>
      </c>
      <c r="L86" s="4" t="inlineStr">
        <is>
          <t>New</t>
        </is>
      </c>
      <c r="M86" s="5" t="n"/>
      <c r="N86" s="2" t="inlineStr">
        <is>
          <t>Consulting engineering firm, not a trade contractor.</t>
        </is>
      </c>
      <c r="O86" s="2" t="inlineStr">
        <is>
          <t>apollo.io/organizations</t>
        </is>
      </c>
      <c r="P86" s="2" t="inlineStr">
        <is>
          <t>2026-09-19T17:30:01+00:00</t>
        </is>
      </c>
      <c r="Q86" s="2" t="inlineStr">
        <is>
          <t>54a126cc69702da220c50300</t>
        </is>
      </c>
    </row>
    <row r="87">
      <c r="A87" s="2" t="inlineStr">
        <is>
          <t>Global Employment USA</t>
        </is>
      </c>
      <c r="B87" s="2" t="inlineStr">
        <is>
          <t>construction staffing, hvacmechanical contracting, demolition, recruitment</t>
        </is>
      </c>
      <c r="C87" s="2" t="inlineStr">
        <is>
          <t>Allentown</t>
        </is>
      </c>
      <c r="D87" s="2" t="inlineStr">
        <is>
          <t>PA</t>
        </is>
      </c>
      <c r="E87" s="2" t="inlineStr">
        <is>
          <t>http://www.globalemploymentusa.com</t>
        </is>
      </c>
      <c r="F87" s="2" t="n"/>
      <c r="G87" s="2" t="n"/>
      <c r="H87" s="2" t="n"/>
      <c r="I87" s="2" t="inlineStr">
        <is>
          <t>+1 610-706-0343</t>
        </is>
      </c>
      <c r="J87" s="2" t="n">
        <v>12</v>
      </c>
      <c r="K87" s="3">
        <f>IF(OR(H87&lt;&gt;"",I87&lt;&gt;""),"Yes","No")</f>
        <v/>
      </c>
      <c r="L87" s="4" t="inlineStr">
        <is>
          <t>New</t>
        </is>
      </c>
      <c r="M87" s="5" t="n"/>
      <c r="N87" s="2" t="inlineStr">
        <is>
          <t>Staffing agency, not a contractor.</t>
        </is>
      </c>
      <c r="O87" s="2" t="inlineStr">
        <is>
          <t>apollo.io/organizations</t>
        </is>
      </c>
      <c r="P87" s="2" t="inlineStr">
        <is>
          <t>2026-09-19T17:30:01+00:00</t>
        </is>
      </c>
      <c r="Q87" s="2" t="inlineStr">
        <is>
          <t>54a11d0569702d8aa19fd000</t>
        </is>
      </c>
    </row>
    <row r="88">
      <c r="A88" s="2" t="inlineStr">
        <is>
          <t>Pinnacle Sales</t>
        </is>
      </c>
      <c r="B88" s="2" t="inlineStr">
        <is>
          <t>plumbing systems, heating systems, hvac, wholesale building materials</t>
        </is>
      </c>
      <c r="C88" s="2" t="inlineStr">
        <is>
          <t>Pittsburgh</t>
        </is>
      </c>
      <c r="D88" s="2" t="inlineStr">
        <is>
          <t>PA</t>
        </is>
      </c>
      <c r="E88" s="2" t="inlineStr">
        <is>
          <t>http://www.pinnaclereps.com</t>
        </is>
      </c>
      <c r="F88" s="2" t="n"/>
      <c r="G88" s="2" t="n"/>
      <c r="H88" s="2" t="n"/>
      <c r="I88" s="2" t="inlineStr">
        <is>
          <t>+1 412-461-9663</t>
        </is>
      </c>
      <c r="J88" s="2" t="n">
        <v>35</v>
      </c>
      <c r="K88" s="3">
        <f>IF(OR(H88&lt;&gt;"",I88&lt;&gt;""),"Yes","No")</f>
        <v/>
      </c>
      <c r="L88" s="4" t="inlineStr">
        <is>
          <t>New</t>
        </is>
      </c>
      <c r="M88" s="5" t="n"/>
      <c r="N88" s="2" t="inlineStr">
        <is>
          <t>Manufacturers' rep agency, not a contractor.</t>
        </is>
      </c>
      <c r="O88" s="2" t="inlineStr">
        <is>
          <t>apollo.io/organizations</t>
        </is>
      </c>
      <c r="P88" s="2" t="inlineStr">
        <is>
          <t>2026-09-19T17:30:01+00:00</t>
        </is>
      </c>
      <c r="Q88" s="2" t="inlineStr">
        <is>
          <t>55ebbfc4f3e5bb61e2001f84</t>
        </is>
      </c>
    </row>
    <row r="89">
      <c r="A89" s="2" t="inlineStr">
        <is>
          <t>Keystone Sales &amp; Associates</t>
        </is>
      </c>
      <c r="B89" s="2" t="inlineStr">
        <is>
          <t>plumbing, heating, air conditioning, hvac, wholesale building materials</t>
        </is>
      </c>
      <c r="C89" s="2" t="inlineStr">
        <is>
          <t>Pottstown</t>
        </is>
      </c>
      <c r="D89" s="2" t="inlineStr">
        <is>
          <t>PA</t>
        </is>
      </c>
      <c r="E89" s="2" t="inlineStr">
        <is>
          <t>http://www.uskeystonesales.com</t>
        </is>
      </c>
      <c r="F89" s="2" t="n"/>
      <c r="G89" s="2" t="n"/>
      <c r="H89" s="2" t="n"/>
      <c r="I89" s="2" t="inlineStr">
        <is>
          <t>+1 800-220-1025</t>
        </is>
      </c>
      <c r="J89" s="2" t="n">
        <v>30</v>
      </c>
      <c r="K89" s="3">
        <f>IF(OR(H89&lt;&gt;"",I89&lt;&gt;""),"Yes","No")</f>
        <v/>
      </c>
      <c r="L89" s="4" t="inlineStr">
        <is>
          <t>New</t>
        </is>
      </c>
      <c r="M89" s="5" t="n"/>
      <c r="N89" s="2" t="inlineStr">
        <is>
          <t>Manufacturers' rep agency, not a contractor.</t>
        </is>
      </c>
      <c r="O89" s="2" t="inlineStr">
        <is>
          <t>apollo.io/organizations</t>
        </is>
      </c>
      <c r="P89" s="2" t="inlineStr">
        <is>
          <t>2026-09-19T17:30:01+00:00</t>
        </is>
      </c>
      <c r="Q89" s="2" t="inlineStr">
        <is>
          <t>5fc9a72a684f7800013fbb64</t>
        </is>
      </c>
    </row>
    <row r="90">
      <c r="A90" s="2" t="inlineStr">
        <is>
          <t>EcoMetric</t>
        </is>
      </c>
      <c r="B90" s="2" t="inlineStr">
        <is>
          <t>energy efficiency, consulting, energy audits, hvac systems</t>
        </is>
      </c>
      <c r="C90" s="2" t="inlineStr">
        <is>
          <t>Exton</t>
        </is>
      </c>
      <c r="D90" s="2" t="inlineStr">
        <is>
          <t>PA</t>
        </is>
      </c>
      <c r="E90" s="2" t="inlineStr">
        <is>
          <t>http://www.ecometricconsulting.com</t>
        </is>
      </c>
      <c r="F90" s="2" t="n"/>
      <c r="G90" s="2" t="n"/>
      <c r="H90" s="2" t="n"/>
      <c r="I90" s="2" t="inlineStr">
        <is>
          <t>+1 610-400-8600</t>
        </is>
      </c>
      <c r="J90" s="2" t="n">
        <v>38</v>
      </c>
      <c r="K90" s="3">
        <f>IF(OR(H90&lt;&gt;"",I90&lt;&gt;""),"Yes","No")</f>
        <v/>
      </c>
      <c r="L90" s="4" t="inlineStr">
        <is>
          <t>New</t>
        </is>
      </c>
      <c r="M90" s="5" t="n"/>
      <c r="N90" s="2" t="inlineStr">
        <is>
          <t>Energy consulting firm, not a contractor.</t>
        </is>
      </c>
      <c r="O90" s="2" t="inlineStr">
        <is>
          <t>apollo.io/organizations</t>
        </is>
      </c>
      <c r="P90" s="2" t="inlineStr">
        <is>
          <t>2026-09-19T17:30:01+00:00</t>
        </is>
      </c>
      <c r="Q90" s="2" t="inlineStr">
        <is>
          <t>5a9ee960a6da98d98c70c9f2</t>
        </is>
      </c>
    </row>
  </sheetData>
  <autoFilter ref="A1:Q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" customWidth="1" min="4" max="4"/>
    <col width="26" customWidth="1" min="5" max="5"/>
    <col width="16" customWidth="1" min="6" max="6"/>
    <col width="46" customWidth="1" min="7" max="7"/>
  </cols>
  <sheetData>
    <row r="1">
      <c r="A1" s="1" t="inlineStr">
        <is>
          <t>Company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Rejected for</t>
        </is>
      </c>
    </row>
    <row r="2">
      <c r="A2" s="6" t="inlineStr">
        <is>
          <t>United Employment Group, Inc.</t>
        </is>
      </c>
      <c r="B2" s="6" t="inlineStr">
        <is>
          <t>executive search, construction staffing, recruitment services</t>
        </is>
      </c>
      <c r="C2" s="6" t="inlineStr">
        <is>
          <t>Allentown</t>
        </is>
      </c>
      <c r="D2" s="6" t="inlineStr">
        <is>
          <t>PA</t>
        </is>
      </c>
      <c r="E2" s="6" t="n"/>
      <c r="F2" s="6" t="inlineStr">
        <is>
          <t>+1 610-351-8070</t>
        </is>
      </c>
      <c r="G2" s="6" t="inlineStr">
        <is>
          <t>trade executive search, construction staffing, recruitment services not in target list</t>
        </is>
      </c>
    </row>
    <row r="3">
      <c r="A3" s="6" t="inlineStr">
        <is>
          <t>Veteran Forged Solutions</t>
        </is>
      </c>
      <c r="B3" s="6" t="inlineStr">
        <is>
          <t>general construction renovations, drywall, painting, roofing, light carpentry</t>
        </is>
      </c>
      <c r="C3" s="6" t="inlineStr">
        <is>
          <t>West Chester</t>
        </is>
      </c>
      <c r="D3" s="6" t="inlineStr">
        <is>
          <t>PA</t>
        </is>
      </c>
      <c r="E3" s="6" t="n"/>
      <c r="F3" s="6" t="n"/>
      <c r="G3" s="6" t="inlineStr">
        <is>
          <t>no email or phone</t>
        </is>
      </c>
    </row>
    <row r="4">
      <c r="A4" s="6" t="inlineStr">
        <is>
          <t>JR Contractor LLC</t>
        </is>
      </c>
      <c r="B4" s="6" t="inlineStr">
        <is>
          <t>renovations, drywall, painting, roofing framing, decks</t>
        </is>
      </c>
      <c r="C4" s="6" t="inlineStr">
        <is>
          <t>Coatesville</t>
        </is>
      </c>
      <c r="D4" s="6" t="inlineStr">
        <is>
          <t>PA</t>
        </is>
      </c>
      <c r="E4" s="6" t="n"/>
      <c r="F4" s="6" t="n"/>
      <c r="G4" s="6" t="inlineStr">
        <is>
          <t>no email or phone</t>
        </is>
      </c>
    </row>
    <row r="5">
      <c r="A5" s="6" t="inlineStr">
        <is>
          <t>Mesta Electronics, LLC</t>
        </is>
      </c>
      <c r="B5" s="6" t="inlineStr">
        <is>
          <t>power quality, transformers, harmonic filters</t>
        </is>
      </c>
      <c r="C5" s="6" t="inlineStr">
        <is>
          <t>North Huntingdon</t>
        </is>
      </c>
      <c r="D5" s="6" t="inlineStr">
        <is>
          <t>PA</t>
        </is>
      </c>
      <c r="E5" s="6" t="n"/>
      <c r="F5" s="6" t="inlineStr">
        <is>
          <t>+1 412-754-3000</t>
        </is>
      </c>
      <c r="G5" s="6" t="inlineStr">
        <is>
          <t>trade power quality, transformers, harmonic filters not in target list</t>
        </is>
      </c>
    </row>
    <row r="6">
      <c r="A6" s="6" t="inlineStr">
        <is>
          <t>Focal Point Remodeling</t>
        </is>
      </c>
      <c r="B6" s="6" t="inlineStr">
        <is>
          <t>bathroom remodel, kitchen remodel, window replacement, roofing</t>
        </is>
      </c>
      <c r="C6" s="6" t="inlineStr">
        <is>
          <t>Harrisburg</t>
        </is>
      </c>
      <c r="D6" s="6" t="inlineStr">
        <is>
          <t>PA</t>
        </is>
      </c>
      <c r="E6" s="6" t="n"/>
      <c r="F6" s="6" t="n"/>
      <c r="G6" s="6" t="inlineStr">
        <is>
          <t>no email or phone</t>
        </is>
      </c>
    </row>
    <row r="7">
      <c r="A7" s="6" t="inlineStr">
        <is>
          <t>Advanced Construction Robotics</t>
        </is>
      </c>
      <c r="B7" s="6" t="inlineStr">
        <is>
          <t>construction, robotics, rebar installation, bridge construction</t>
        </is>
      </c>
      <c r="C7" s="6" t="inlineStr">
        <is>
          <t>Pittsburgh</t>
        </is>
      </c>
      <c r="D7" s="6" t="inlineStr">
        <is>
          <t>PA</t>
        </is>
      </c>
      <c r="E7" s="6" t="n"/>
      <c r="F7" s="6" t="inlineStr">
        <is>
          <t>+1 412-756-3360</t>
        </is>
      </c>
      <c r="G7" s="6" t="inlineStr">
        <is>
          <t>trade construction, robotics, rebar installation, bridge construction not in target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8" customWidth="1" min="3" max="3"/>
  </cols>
  <sheetData>
    <row r="1">
      <c r="A1" s="7" t="inlineStr">
        <is>
          <t>Lead list summary</t>
        </is>
      </c>
    </row>
    <row r="3">
      <c r="A3" s="8" t="inlineStr">
        <is>
          <t>Qualified leads</t>
        </is>
      </c>
      <c r="B3" s="6">
        <f>COUNTA(Leads!A2:A90)</f>
        <v/>
      </c>
      <c r="C3" s="9" t="inlineStr">
        <is>
          <t>Rows on the Leads tab.</t>
        </is>
      </c>
    </row>
    <row r="4">
      <c r="A4" s="8" t="inlineStr">
        <is>
          <t>With email</t>
        </is>
      </c>
      <c r="B4" s="6">
        <f>COUNTIF(Leads!H2:H90,"?*")</f>
        <v/>
      </c>
      <c r="C4" s="9" t="inlineStr">
        <is>
          <t>Non-blank Email cells.</t>
        </is>
      </c>
    </row>
    <row r="5">
      <c r="A5" s="8" t="inlineStr">
        <is>
          <t>With phone</t>
        </is>
      </c>
      <c r="B5" s="6">
        <f>COUNTIF(Leads!I2:I90,"?*")</f>
        <v/>
      </c>
      <c r="C5" s="9" t="inlineStr">
        <is>
          <t>Non-blank Phone cells.</t>
        </is>
      </c>
    </row>
    <row r="6">
      <c r="A6" s="8" t="inlineStr">
        <is>
          <t>Contactable</t>
        </is>
      </c>
      <c r="B6" s="6">
        <f>COUNTIF(Leads!K2:K90,"Yes")</f>
        <v/>
      </c>
      <c r="C6" s="9" t="inlineStr">
        <is>
          <t>Either an email or a phone number.</t>
        </is>
      </c>
    </row>
    <row r="7">
      <c r="A7" s="8" t="inlineStr">
        <is>
          <t>Rejected</t>
        </is>
      </c>
      <c r="B7" s="6" t="n">
        <v>6</v>
      </c>
      <c r="C7" s="9" t="inlineStr">
        <is>
          <t>See the Rejected tab for the reason on each.</t>
        </is>
      </c>
    </row>
    <row r="10">
      <c r="A10" s="10" t="inlineStr">
        <is>
          <t>Pipeline</t>
        </is>
      </c>
    </row>
    <row r="11">
      <c r="A11" s="6" t="inlineStr">
        <is>
          <t>New</t>
        </is>
      </c>
      <c r="B11" s="6">
        <f>COUNTIF(Leads!L2:L90,"New")</f>
        <v/>
      </c>
    </row>
    <row r="12">
      <c r="A12" s="6" t="inlineStr">
        <is>
          <t>Contacted</t>
        </is>
      </c>
      <c r="B12" s="6">
        <f>COUNTIF(Leads!L2:L90,"Contacted")</f>
        <v/>
      </c>
    </row>
    <row r="13">
      <c r="A13" s="6" t="inlineStr">
        <is>
          <t>Replied</t>
        </is>
      </c>
      <c r="B13" s="6">
        <f>COUNTIF(Leads!L2:L90,"Replied")</f>
        <v/>
      </c>
    </row>
    <row r="14">
      <c r="A14" s="6" t="inlineStr">
        <is>
          <t>Meeting</t>
        </is>
      </c>
      <c r="B14" s="6">
        <f>COUNTIF(Leads!L2:L90,"Meeting")</f>
        <v/>
      </c>
    </row>
    <row r="15">
      <c r="A15" s="6" t="inlineStr">
        <is>
          <t>Won</t>
        </is>
      </c>
      <c r="B15" s="6">
        <f>COUNTIF(Leads!L2:L90,"Won")</f>
        <v/>
      </c>
    </row>
    <row r="16">
      <c r="A16" s="6" t="inlineStr">
        <is>
          <t>Dead</t>
        </is>
      </c>
      <c r="B16" s="6">
        <f>COUNTIF(Leads!L2:L90,"Dead")</f>
        <v/>
      </c>
    </row>
    <row r="19">
      <c r="A19" s="10" t="inlineStr">
        <is>
          <t>How to use this</t>
        </is>
      </c>
    </row>
    <row r="20">
      <c r="A20" s="9" t="inlineStr">
        <is>
          <t>Yellow cells are yours to edit — column L (Status) and column M (Notes) on the Leads tab.</t>
        </is>
      </c>
    </row>
    <row r="21">
      <c r="A21" s="9" t="inlineStr">
        <is>
          <t>Status accepts: New, Contacted, Replied, Meeting, Won, Dead. The Pipeline counts above follow what you type.</t>
        </is>
      </c>
    </row>
    <row r="22">
      <c r="A22" s="9" t="inlineStr">
        <is>
          <t>Contactable (column K) is a formula. Fill in a missing phone or email and it updates itself.</t>
        </is>
      </c>
    </row>
    <row r="23">
      <c r="A23" s="9" t="inlineStr">
        <is>
          <t>Everything else came from the source and is overwritten on the next export.</t>
        </is>
      </c>
    </row>
    <row r="24">
      <c r="A24" s="9" t="inlineStr">
        <is>
          <t>Filters applied — states: PA; 8 trades; contactable only</t>
        </is>
      </c>
    </row>
  </sheetData>
  <mergeCells count="5"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2026-09-19T17:30:01Z</dcterms:created>
  <dcterms:modified xsi:type="dcterms:W3CDTF">2026-09-19T17:30:01Z</dcterms:modified>
</cp:coreProperties>
</file>